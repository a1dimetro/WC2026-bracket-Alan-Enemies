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8_{1CB67431-EF1C-4C42-98C7-C782D4DCC16E}"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20" yWindow="-120" windowWidth="38640" windowHeight="21120"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13" i="2" l="1"/>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BP12" i="2" s="1"/>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BP38" i="2" s="1"/>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BP40" i="2" s="1"/>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44" i="2" l="1"/>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s="1"/>
  <c r="BS25" i="2" l="1"/>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F73" i="2"/>
  <c r="F70" i="2"/>
  <c r="BU40" i="2"/>
  <c r="E97" i="2"/>
  <c r="BV52" i="2" s="1"/>
  <c r="F92" i="2"/>
  <c r="BU47" i="2"/>
  <c r="F87" i="2"/>
  <c r="F84" i="2"/>
  <c r="E89" i="2"/>
  <c r="BV48" i="2" s="1"/>
  <c r="BW13" i="2"/>
  <c r="E14" i="2"/>
  <c r="BW11" i="2" s="1"/>
  <c r="F13" i="2"/>
  <c r="E16" i="2"/>
  <c r="BV10" i="2" s="1"/>
  <c r="BX17" i="2"/>
  <c r="BW17" i="2"/>
  <c r="BV17" i="2"/>
  <c r="BU17" i="2"/>
  <c r="E22" i="2"/>
  <c r="E24" i="2"/>
  <c r="F21" i="2"/>
  <c r="BX8" i="2"/>
  <c r="BW8" i="2"/>
  <c r="BV8" i="2"/>
  <c r="BU8" i="2"/>
  <c r="F9" i="2"/>
  <c r="F7" i="2"/>
  <c r="E5" i="2"/>
  <c r="BX22" i="2"/>
  <c r="BW22" i="2"/>
  <c r="BV22" i="2"/>
  <c r="BU22" i="2"/>
  <c r="E36" i="2"/>
  <c r="F41" i="2"/>
  <c r="E38" i="2"/>
  <c r="BU34" i="2"/>
  <c r="BV34" i="2"/>
  <c r="BW34" i="2"/>
  <c r="BX34" i="2"/>
  <c r="E62" i="2"/>
  <c r="F65" i="2"/>
  <c r="E60" i="2"/>
  <c r="BW10" i="2"/>
  <c r="F16" i="2"/>
  <c r="BV13" i="2" s="1"/>
  <c r="E12" i="2"/>
  <c r="E15" i="2"/>
  <c r="BW32" i="2"/>
  <c r="F54" i="2"/>
  <c r="E53" i="2"/>
  <c r="F56" i="2"/>
  <c r="BW27" i="2"/>
  <c r="E48" i="2"/>
  <c r="F44" i="2"/>
  <c r="BV26" i="2" s="1"/>
  <c r="F47" i="2"/>
  <c r="BV6" i="2"/>
  <c r="BX6" i="2"/>
  <c r="BU6" i="2"/>
  <c r="BW6" i="2"/>
  <c r="E4" i="2"/>
  <c r="F8" i="2"/>
  <c r="E7" i="2"/>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BW45" i="2" s="1"/>
  <c r="E78" i="2"/>
  <c r="BW44" i="2" s="1"/>
  <c r="E76" i="2"/>
  <c r="BU48" i="2"/>
  <c r="E85" i="2"/>
  <c r="F86" i="2"/>
  <c r="F89" i="2"/>
  <c r="BV47" i="2" s="1"/>
  <c r="E56" i="2"/>
  <c r="F52" i="2"/>
  <c r="F55" i="2"/>
  <c r="BV33" i="2" s="1"/>
  <c r="BW18" i="2"/>
  <c r="E28" i="2"/>
  <c r="E30" i="2"/>
  <c r="F32" i="2"/>
  <c r="BW53" i="2"/>
  <c r="BV53" i="2"/>
  <c r="BU53" i="2"/>
  <c r="BX53" i="2"/>
  <c r="E95" i="2"/>
  <c r="BU51" i="2" s="1"/>
  <c r="E96" i="2"/>
  <c r="F93" i="2"/>
  <c r="BU52" i="2" s="1"/>
  <c r="BU36" i="2"/>
  <c r="E61" i="2"/>
  <c r="F62" i="2"/>
  <c r="F64" i="2"/>
  <c r="BV35" i="2" s="1"/>
  <c r="BV39" i="2"/>
  <c r="BU39" i="2"/>
  <c r="F71" i="2"/>
  <c r="E73" i="2"/>
  <c r="BV40" i="2" s="1"/>
  <c r="F68" i="2"/>
  <c r="BX15" i="2"/>
  <c r="BV15" i="2"/>
  <c r="BW15" i="2"/>
  <c r="BU15" i="2"/>
  <c r="E25" i="2"/>
  <c r="F20" i="2"/>
  <c r="F22" i="2"/>
  <c r="F94" i="2"/>
  <c r="BU50" i="2" s="1"/>
  <c r="BX50" i="2" s="1"/>
  <c r="F97" i="2"/>
  <c r="BV51" i="2" s="1"/>
  <c r="E93" i="2"/>
  <c r="F37" i="2"/>
  <c r="E39" i="2"/>
  <c r="E41" i="2"/>
  <c r="BW30" i="2"/>
  <c r="E52" i="2"/>
  <c r="E54" i="2"/>
  <c r="F57" i="2"/>
  <c r="BW33" i="2" s="1"/>
  <c r="BX7" i="2"/>
  <c r="BW7" i="2"/>
  <c r="BV7" i="2"/>
  <c r="BU7" i="2"/>
  <c r="F6" i="2"/>
  <c r="E9" i="2"/>
  <c r="F4" i="2"/>
  <c r="BU33" i="2"/>
  <c r="E55" i="2"/>
  <c r="BU31" i="2" s="1"/>
  <c r="E57" i="2"/>
  <c r="BU30" i="2" s="1"/>
  <c r="F53" i="2"/>
  <c r="BU32" i="2" s="1"/>
  <c r="E77" i="2"/>
  <c r="F78" i="2"/>
  <c r="F80" i="2"/>
  <c r="BV43" i="2" s="1"/>
  <c r="BW37" i="2"/>
  <c r="BV37" i="2"/>
  <c r="BU37" i="2"/>
  <c r="BX37" i="2"/>
  <c r="F61" i="2"/>
  <c r="E63" i="2"/>
  <c r="BW35" i="2" s="1"/>
  <c r="E65" i="2"/>
  <c r="BX28" i="2"/>
  <c r="BW28" i="2"/>
  <c r="BU28" i="2"/>
  <c r="BV28" i="2"/>
  <c r="F46" i="2"/>
  <c r="F48" i="2"/>
  <c r="E45" i="2"/>
  <c r="BU38" i="2"/>
  <c r="BV38" i="2"/>
  <c r="BX38" i="2"/>
  <c r="BW38" i="2"/>
  <c r="F72" i="2"/>
  <c r="E68" i="2"/>
  <c r="E70" i="2"/>
  <c r="F38" i="2"/>
  <c r="E37" i="2"/>
  <c r="BV25" i="2" s="1"/>
  <c r="F40" i="2"/>
  <c r="BU23" i="2" s="1"/>
  <c r="BW50" i="2"/>
  <c r="BV50" i="2"/>
  <c r="F96" i="2"/>
  <c r="E92" i="2"/>
  <c r="BW51" i="2" s="1"/>
  <c r="E94" i="2"/>
  <c r="BW52" i="2" s="1"/>
  <c r="F79" i="2"/>
  <c r="BV45" i="2" s="1"/>
  <c r="E80" i="2"/>
  <c r="BV44" i="2" s="1"/>
  <c r="F76" i="2"/>
  <c r="BU45" i="2"/>
  <c r="F77" i="2"/>
  <c r="BU44" i="2" s="1"/>
  <c r="E79" i="2"/>
  <c r="BU43" i="2" s="1"/>
  <c r="E81" i="2"/>
  <c r="BW19" i="2"/>
  <c r="F28" i="2"/>
  <c r="BV18" i="2" s="1"/>
  <c r="E33" i="2"/>
  <c r="F31" i="2"/>
  <c r="BU46" i="2"/>
  <c r="BX46" i="2"/>
  <c r="BW46" i="2"/>
  <c r="BV46" i="2"/>
  <c r="F88" i="2"/>
  <c r="E86" i="2"/>
  <c r="E84" i="2"/>
  <c r="BW47" i="2" s="1"/>
  <c r="BX49" i="2"/>
  <c r="BW49" i="2"/>
  <c r="BV49" i="2"/>
  <c r="BU49" i="2"/>
  <c r="F85" i="2"/>
  <c r="BW48" i="2" s="1"/>
  <c r="E88" i="2"/>
  <c r="E87" i="2"/>
  <c r="BV41" i="2"/>
  <c r="BU41" i="2"/>
  <c r="BX41" i="2"/>
  <c r="BW41" i="2"/>
  <c r="E72" i="2"/>
  <c r="E71" i="2"/>
  <c r="F69" i="2"/>
  <c r="BU12" i="2"/>
  <c r="F15" i="2"/>
  <c r="F17" i="2"/>
  <c r="BV11" i="2" s="1"/>
  <c r="E13" i="2"/>
  <c r="BU35" i="2"/>
  <c r="F63" i="2"/>
  <c r="F60" i="2"/>
  <c r="E64" i="2"/>
  <c r="BV36" i="2" s="1"/>
  <c r="BU11" i="2"/>
  <c r="F12" i="2"/>
  <c r="F14" i="2"/>
  <c r="E17" i="2"/>
  <c r="BV12" i="2" s="1"/>
  <c r="E40" i="2"/>
  <c r="BU24" i="2" s="1"/>
  <c r="F36" i="2"/>
  <c r="F39" i="2"/>
  <c r="BU25" i="2" s="1"/>
  <c r="BW21" i="2"/>
  <c r="E32" i="2"/>
  <c r="E31" i="2"/>
  <c r="F29" i="2"/>
  <c r="BX20" i="2"/>
  <c r="BW20" i="2"/>
  <c r="BV20" i="2"/>
  <c r="BU20" i="2"/>
  <c r="E29" i="2"/>
  <c r="BU21" i="2" s="1"/>
  <c r="F33" i="2"/>
  <c r="BU19" i="2" s="1"/>
  <c r="F30" i="2"/>
  <c r="BU18" i="2" s="1"/>
  <c r="BX48" i="2" l="1"/>
  <c r="BX47" i="2"/>
  <c r="BW31" i="2"/>
  <c r="BX45" i="2"/>
  <c r="BW43" i="2"/>
  <c r="BV24" i="2"/>
  <c r="BX33" i="2"/>
  <c r="BV23" i="2"/>
  <c r="BX23" i="2" s="1"/>
  <c r="BW39" i="2"/>
  <c r="BW23" i="2"/>
  <c r="BW40" i="2"/>
  <c r="BX39" i="2"/>
  <c r="BW12" i="2"/>
  <c r="BX40" i="2"/>
  <c r="BW25" i="2"/>
  <c r="BW24" i="2"/>
  <c r="BV30" i="2"/>
  <c r="BX30" i="2" s="1"/>
  <c r="BU26" i="2"/>
  <c r="BX12" i="2"/>
  <c r="BY12" i="2" s="1"/>
  <c r="BX24" i="2"/>
  <c r="BX11" i="2"/>
  <c r="BU27" i="2"/>
  <c r="BX27" i="2" s="1"/>
  <c r="BV31" i="2"/>
  <c r="BX31" i="2" s="1"/>
  <c r="BV21" i="2"/>
  <c r="BX21" i="2" s="1"/>
  <c r="BX18" i="2"/>
  <c r="BX52" i="2"/>
  <c r="BX36" i="2"/>
  <c r="BX35" i="2"/>
  <c r="BX43" i="2"/>
  <c r="BX25" i="2"/>
  <c r="BX26" i="2"/>
  <c r="BW36" i="2"/>
  <c r="BV32" i="2"/>
  <c r="BX32" i="2" s="1"/>
  <c r="BV19" i="2"/>
  <c r="BX19" i="2" s="1"/>
  <c r="BU13" i="2"/>
  <c r="BX13" i="2" s="1"/>
  <c r="BU10" i="2"/>
  <c r="BX10" i="2" s="1"/>
  <c r="BX44" i="2"/>
  <c r="BX51" i="2"/>
  <c r="BY42" i="2" l="1"/>
  <c r="BY51" i="2"/>
  <c r="BY48" i="2"/>
  <c r="BY20" i="2"/>
  <c r="BY6" i="2"/>
  <c r="BY11" i="2"/>
  <c r="BY9" i="2"/>
  <c r="BY15" i="2"/>
  <c r="BY40" i="2"/>
  <c r="BY16" i="2"/>
  <c r="BY28" i="2"/>
  <c r="BY29" i="2"/>
  <c r="BY14" i="2"/>
  <c r="BY38" i="2"/>
  <c r="BY8" i="2"/>
  <c r="BY33" i="2"/>
  <c r="BY46" i="2"/>
  <c r="BY53" i="2"/>
  <c r="BY45"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Z48" i="2" l="1"/>
  <c r="BZ53" i="2"/>
  <c r="CA53" i="2" s="1"/>
  <c r="BZ50" i="2"/>
  <c r="BZ47" i="2"/>
  <c r="BZ43" i="2"/>
  <c r="I79" i="2" s="1"/>
  <c r="BZ39" i="2"/>
  <c r="BZ16" i="2"/>
  <c r="CB53" i="2"/>
  <c r="CC53" i="2"/>
  <c r="H96" i="2"/>
  <c r="H95" i="2"/>
  <c r="I93" i="2"/>
  <c r="BZ21" i="2"/>
  <c r="BZ27" i="2"/>
  <c r="BZ9" i="2"/>
  <c r="BZ4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H92" i="2" l="1"/>
  <c r="I89" i="2"/>
  <c r="I86" i="2"/>
  <c r="H94" i="2"/>
  <c r="H89" i="2"/>
  <c r="I87" i="2"/>
  <c r="I84" i="2"/>
  <c r="I96" i="2"/>
  <c r="H85" i="2"/>
  <c r="I76" i="2"/>
  <c r="H80" i="2"/>
  <c r="CC34" i="2"/>
  <c r="CB34" i="2"/>
  <c r="CA34" i="2"/>
  <c r="H60" i="2"/>
  <c r="H62" i="2"/>
  <c r="I65" i="2"/>
  <c r="CB20" i="2"/>
  <c r="CA20" i="2"/>
  <c r="CC20" i="2"/>
  <c r="H29" i="2"/>
  <c r="I33" i="2"/>
  <c r="I30" i="2"/>
  <c r="CC41" i="2"/>
  <c r="CB41" i="2"/>
  <c r="CA41" i="2"/>
  <c r="H72" i="2"/>
  <c r="H71" i="2"/>
  <c r="I69" i="2"/>
  <c r="CB40" i="2" s="1"/>
  <c r="CC42" i="2"/>
  <c r="CB42" i="2"/>
  <c r="CA42" i="2"/>
  <c r="I81" i="2"/>
  <c r="H78" i="2"/>
  <c r="H76" i="2"/>
  <c r="CC7" i="2"/>
  <c r="CB7" i="2"/>
  <c r="CA7" i="2"/>
  <c r="H9" i="2"/>
  <c r="I6" i="2"/>
  <c r="I4" i="2"/>
  <c r="H31" i="2"/>
  <c r="I29" i="2"/>
  <c r="H32" i="2"/>
  <c r="H30" i="2"/>
  <c r="I32" i="2"/>
  <c r="H28" i="2"/>
  <c r="I44" i="2"/>
  <c r="I47" i="2"/>
  <c r="H48" i="2"/>
  <c r="I95" i="2"/>
  <c r="H97" i="2"/>
  <c r="CB52" i="2" s="1"/>
  <c r="I92" i="2"/>
  <c r="CB50" i="2" s="1"/>
  <c r="H15" i="2"/>
  <c r="H12" i="2"/>
  <c r="I16" i="2"/>
  <c r="H14" i="2"/>
  <c r="I13" i="2"/>
  <c r="CB12" i="2" s="1"/>
  <c r="H16" i="2"/>
  <c r="CB14" i="2"/>
  <c r="CA14" i="2"/>
  <c r="CC14" i="2"/>
  <c r="H23" i="2"/>
  <c r="I24" i="2"/>
  <c r="H20" i="2"/>
  <c r="H33" i="2"/>
  <c r="I31" i="2"/>
  <c r="I28" i="2"/>
  <c r="CC29" i="2"/>
  <c r="CB29" i="2"/>
  <c r="CA29" i="2"/>
  <c r="H49" i="2"/>
  <c r="I45" i="2"/>
  <c r="H47" i="2"/>
  <c r="I70" i="2"/>
  <c r="I73" i="2"/>
  <c r="H69" i="2"/>
  <c r="CC8" i="2"/>
  <c r="CB8" i="2"/>
  <c r="CA8" i="2"/>
  <c r="I9" i="2"/>
  <c r="I7" i="2"/>
  <c r="H5" i="2"/>
  <c r="H52" i="2"/>
  <c r="I57" i="2"/>
  <c r="H54" i="2"/>
  <c r="I94" i="2"/>
  <c r="H93" i="2"/>
  <c r="I97" i="2"/>
  <c r="CB51" i="2" s="1"/>
  <c r="CC6" i="2"/>
  <c r="CA6" i="2"/>
  <c r="CB6" i="2"/>
  <c r="H4" i="2"/>
  <c r="H7" i="2"/>
  <c r="I8" i="2"/>
  <c r="H56" i="2"/>
  <c r="I52" i="2"/>
  <c r="I55" i="2"/>
  <c r="I63" i="2"/>
  <c r="I60" i="2"/>
  <c r="H64" i="2"/>
  <c r="I14" i="2"/>
  <c r="H17" i="2"/>
  <c r="I12" i="2"/>
  <c r="CB10" i="2" s="1"/>
  <c r="CC22" i="2"/>
  <c r="CB22" i="2"/>
  <c r="CA22" i="2"/>
  <c r="I41" i="2"/>
  <c r="H36" i="2"/>
  <c r="H38" i="2"/>
  <c r="I71" i="2"/>
  <c r="I68" i="2"/>
  <c r="H73" i="2"/>
  <c r="H79" i="2"/>
  <c r="H81" i="2"/>
  <c r="I77" i="2"/>
  <c r="H61" i="2"/>
  <c r="I62" i="2"/>
  <c r="I64" i="2"/>
  <c r="I49" i="2"/>
  <c r="H46" i="2"/>
  <c r="H44" i="2"/>
  <c r="CC49" i="2"/>
  <c r="CB49" i="2"/>
  <c r="CA49" i="2"/>
  <c r="H87" i="2"/>
  <c r="I85" i="2"/>
  <c r="CA48" i="2" s="1"/>
  <c r="H88" i="2"/>
  <c r="H40" i="2"/>
  <c r="I36" i="2"/>
  <c r="I39" i="2"/>
  <c r="I37" i="2"/>
  <c r="H39" i="2"/>
  <c r="H41" i="2"/>
  <c r="I38" i="2"/>
  <c r="I40" i="2"/>
  <c r="H37" i="2"/>
  <c r="H55" i="2"/>
  <c r="H57" i="2"/>
  <c r="I53" i="2"/>
  <c r="CC15" i="2"/>
  <c r="CB15" i="2"/>
  <c r="CA15" i="2"/>
  <c r="H25" i="2"/>
  <c r="I20" i="2"/>
  <c r="I22" i="2"/>
  <c r="CC38" i="2"/>
  <c r="CB38" i="2"/>
  <c r="CA38" i="2"/>
  <c r="H68" i="2"/>
  <c r="I72" i="2"/>
  <c r="H70" i="2"/>
  <c r="I15" i="2"/>
  <c r="H13" i="2"/>
  <c r="I17" i="2"/>
  <c r="CC17" i="2"/>
  <c r="CB17" i="2"/>
  <c r="CA17" i="2"/>
  <c r="H22" i="2"/>
  <c r="H24" i="2"/>
  <c r="I21" i="2"/>
  <c r="CC9" i="2"/>
  <c r="CA9" i="2"/>
  <c r="CB9" i="2"/>
  <c r="H8" i="2"/>
  <c r="H6" i="2"/>
  <c r="I5" i="2"/>
  <c r="CC46" i="2"/>
  <c r="CB46" i="2"/>
  <c r="CA46" i="2"/>
  <c r="I88" i="2"/>
  <c r="H86" i="2"/>
  <c r="H84" i="2"/>
  <c r="CA47" i="2" s="1"/>
  <c r="CC37" i="2"/>
  <c r="CB37" i="2"/>
  <c r="CA37" i="2"/>
  <c r="I61" i="2"/>
  <c r="H65" i="2"/>
  <c r="H63" i="2"/>
  <c r="CC28" i="2"/>
  <c r="CB28" i="2"/>
  <c r="CA28" i="2"/>
  <c r="H45" i="2"/>
  <c r="I46" i="2"/>
  <c r="I48" i="2"/>
  <c r="I78" i="2"/>
  <c r="H77" i="2"/>
  <c r="CA45" i="2" s="1"/>
  <c r="I80" i="2"/>
  <c r="H53" i="2"/>
  <c r="CB33" i="2" s="1"/>
  <c r="I54" i="2"/>
  <c r="I56" i="2"/>
  <c r="CC16" i="2"/>
  <c r="CA16" i="2"/>
  <c r="CB16" i="2"/>
  <c r="I23" i="2"/>
  <c r="I25" i="2"/>
  <c r="H21" i="2"/>
  <c r="CB48" i="2" l="1"/>
  <c r="CA50" i="2"/>
  <c r="CC50" i="2" s="1"/>
  <c r="CB47" i="2"/>
  <c r="CC47" i="2" s="1"/>
  <c r="CC48" i="2"/>
  <c r="CB45" i="2"/>
  <c r="CC45" i="2" s="1"/>
  <c r="CA33" i="2"/>
  <c r="CC33" i="2" s="1"/>
  <c r="CB31" i="2"/>
  <c r="CA39" i="2"/>
  <c r="CA40" i="2"/>
  <c r="CC40" i="2" s="1"/>
  <c r="CB23" i="2"/>
  <c r="CA23" i="2"/>
  <c r="CB39" i="2"/>
  <c r="CC39" i="2" s="1"/>
  <c r="CB36" i="2"/>
  <c r="CB44" i="2"/>
  <c r="CB35" i="2"/>
  <c r="CB11" i="2"/>
  <c r="CA24" i="2"/>
  <c r="CB25" i="2"/>
  <c r="CA12" i="2"/>
  <c r="CC12" i="2" s="1"/>
  <c r="CB24" i="2"/>
  <c r="CA11" i="2"/>
  <c r="CA27" i="2"/>
  <c r="CA32" i="2"/>
  <c r="CA44" i="2"/>
  <c r="CA18" i="2"/>
  <c r="CB26" i="2"/>
  <c r="CA26" i="2"/>
  <c r="CA19" i="2"/>
  <c r="CA21" i="2"/>
  <c r="CA52" i="2"/>
  <c r="CC52" i="2" s="1"/>
  <c r="CB13" i="2"/>
  <c r="CB18" i="2"/>
  <c r="CC18" i="2" s="1"/>
  <c r="CA35" i="2"/>
  <c r="CB19" i="2"/>
  <c r="CB30" i="2"/>
  <c r="CA10" i="2"/>
  <c r="CC10" i="2" s="1"/>
  <c r="CA36" i="2"/>
  <c r="CB21" i="2"/>
  <c r="CA51" i="2"/>
  <c r="CC51" i="2" s="1"/>
  <c r="CB27" i="2"/>
  <c r="CB32" i="2"/>
  <c r="CA31" i="2"/>
  <c r="CA30" i="2"/>
  <c r="CA25" i="2"/>
  <c r="CA13" i="2"/>
  <c r="CC13" i="2" s="1"/>
  <c r="CA43" i="2"/>
  <c r="CB43" i="2"/>
  <c r="CC31" i="2" l="1"/>
  <c r="CC36" i="2"/>
  <c r="CC25" i="2"/>
  <c r="CC23" i="2"/>
  <c r="CC44" i="2"/>
  <c r="CC11" i="2"/>
  <c r="CC35" i="2"/>
  <c r="CC32" i="2"/>
  <c r="CC24" i="2"/>
  <c r="CD47" i="2" s="1"/>
  <c r="CC27" i="2"/>
  <c r="CC26" i="2"/>
  <c r="CD36" i="2" s="1"/>
  <c r="CD11" i="2"/>
  <c r="CD45" i="2"/>
  <c r="CD48" i="2"/>
  <c r="CD37" i="2"/>
  <c r="CD40" i="2"/>
  <c r="CD9" i="2"/>
  <c r="CD41" i="2"/>
  <c r="CD50" i="2"/>
  <c r="CD34" i="2"/>
  <c r="CC19" i="2"/>
  <c r="CC21" i="2"/>
  <c r="CC30" i="2"/>
  <c r="CC43" i="2"/>
  <c r="CD43" i="2" s="1"/>
  <c r="CD33" i="2" l="1"/>
  <c r="CD27" i="2"/>
  <c r="CD13" i="2"/>
  <c r="CD49" i="2"/>
  <c r="CD52" i="2"/>
  <c r="CD51" i="2"/>
  <c r="CD25" i="2"/>
  <c r="CD12" i="2"/>
  <c r="CD8" i="2"/>
  <c r="CD10" i="2"/>
  <c r="CD26" i="2"/>
  <c r="CD35" i="2"/>
  <c r="CD30" i="2"/>
  <c r="CD6" i="2"/>
  <c r="CD28" i="2"/>
  <c r="CD21" i="2"/>
  <c r="CD32" i="2"/>
  <c r="CD17" i="2"/>
  <c r="CD42" i="2"/>
  <c r="CD14" i="2"/>
  <c r="CD46" i="2"/>
  <c r="CD53" i="2"/>
  <c r="CD22" i="2"/>
  <c r="CD38" i="2"/>
  <c r="CD39" i="2"/>
  <c r="CD23" i="2"/>
  <c r="CD7" i="2"/>
  <c r="CD16" i="2"/>
  <c r="CD29" i="2"/>
  <c r="CD15" i="2"/>
  <c r="CD20" i="2"/>
  <c r="CD18" i="2"/>
  <c r="CD31" i="2"/>
  <c r="CD19" i="2"/>
  <c r="CD44" i="2"/>
  <c r="CD24" i="2"/>
  <c r="CE33" i="2" l="1"/>
  <c r="CE34" i="2"/>
  <c r="CF34" i="2" s="1"/>
  <c r="CE43" i="2"/>
  <c r="L76" i="2" s="1"/>
  <c r="CE11" i="2"/>
  <c r="CE26" i="2"/>
  <c r="CE17" i="2"/>
  <c r="CE13"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L53" i="2" l="1"/>
  <c r="K57" i="2"/>
  <c r="K80" i="2"/>
  <c r="L79" i="2"/>
  <c r="K60" i="2"/>
  <c r="L65" i="2"/>
  <c r="K62" i="2"/>
  <c r="K55" i="2"/>
  <c r="K39" i="2"/>
  <c r="L37" i="2"/>
  <c r="K41" i="2"/>
  <c r="K14" i="2"/>
  <c r="L13" i="2"/>
  <c r="CF12" i="2" s="1"/>
  <c r="K16" i="2"/>
  <c r="CF53" i="2"/>
  <c r="L93" i="2"/>
  <c r="K96" i="2"/>
  <c r="K95" i="2"/>
  <c r="L28" i="2"/>
  <c r="K33" i="2"/>
  <c r="L31" i="2"/>
  <c r="CF17" i="2"/>
  <c r="K24" i="2"/>
  <c r="L21" i="2"/>
  <c r="K22" i="2"/>
  <c r="L60" i="2"/>
  <c r="L63" i="2"/>
  <c r="K64" i="2"/>
  <c r="L14" i="2"/>
  <c r="K17" i="2"/>
  <c r="L12" i="2"/>
  <c r="CF46" i="2"/>
  <c r="L88" i="2"/>
  <c r="K86" i="2"/>
  <c r="CF48" i="2" s="1"/>
  <c r="K84" i="2"/>
  <c r="K40" i="2"/>
  <c r="L39" i="2"/>
  <c r="L36" i="2"/>
  <c r="K32" i="2"/>
  <c r="K31" i="2"/>
  <c r="L29" i="2"/>
  <c r="CF22" i="2"/>
  <c r="L41" i="2"/>
  <c r="K36" i="2"/>
  <c r="K38" i="2"/>
  <c r="L86" i="2"/>
  <c r="K85" i="2"/>
  <c r="L89" i="2"/>
  <c r="CF47" i="2" s="1"/>
  <c r="K53" i="2"/>
  <c r="L54" i="2"/>
  <c r="L56" i="2"/>
  <c r="CF29" i="2"/>
  <c r="K49" i="2"/>
  <c r="L45" i="2"/>
  <c r="K47" i="2"/>
  <c r="CF42" i="2"/>
  <c r="L81" i="2"/>
  <c r="K76" i="2"/>
  <c r="K78" i="2"/>
  <c r="K73" i="2"/>
  <c r="L71" i="2"/>
  <c r="L68" i="2"/>
  <c r="CF9" i="2"/>
  <c r="K8" i="2"/>
  <c r="L5" i="2"/>
  <c r="K6" i="2"/>
  <c r="L95" i="2"/>
  <c r="L92" i="2"/>
  <c r="K97" i="2"/>
  <c r="CF15" i="2"/>
  <c r="K25" i="2"/>
  <c r="L20" i="2"/>
  <c r="L22" i="2"/>
  <c r="CF14" i="2"/>
  <c r="L24" i="2"/>
  <c r="K23" i="2"/>
  <c r="K20" i="2"/>
  <c r="CF6" i="2"/>
  <c r="K4" i="2"/>
  <c r="L8" i="2"/>
  <c r="K7" i="2"/>
  <c r="CF7" i="2"/>
  <c r="L6" i="2"/>
  <c r="K9" i="2"/>
  <c r="L4" i="2"/>
  <c r="L87" i="2"/>
  <c r="K89" i="2"/>
  <c r="L84" i="2"/>
  <c r="CF20" i="2"/>
  <c r="K29" i="2"/>
  <c r="L30" i="2"/>
  <c r="L33" i="2"/>
  <c r="K77" i="2"/>
  <c r="L80" i="2"/>
  <c r="L78" i="2"/>
  <c r="K30" i="2"/>
  <c r="L32" i="2"/>
  <c r="K28" i="2"/>
  <c r="CF19" i="2" s="1"/>
  <c r="K48" i="2"/>
  <c r="L44" i="2"/>
  <c r="L47" i="2"/>
  <c r="CF49" i="2"/>
  <c r="L85" i="2"/>
  <c r="K87" i="2"/>
  <c r="K88" i="2"/>
  <c r="L96" i="2"/>
  <c r="K94" i="2"/>
  <c r="K92" i="2"/>
  <c r="K61" i="2"/>
  <c r="L62" i="2"/>
  <c r="L64" i="2"/>
  <c r="CF8" i="2"/>
  <c r="L9" i="2"/>
  <c r="L7" i="2"/>
  <c r="K5" i="2"/>
  <c r="CF45" i="2"/>
  <c r="K79" i="2"/>
  <c r="L77" i="2"/>
  <c r="K81" i="2"/>
  <c r="K69" i="2"/>
  <c r="L73" i="2"/>
  <c r="L70" i="2"/>
  <c r="CF16" i="2"/>
  <c r="K21" i="2"/>
  <c r="L23" i="2"/>
  <c r="L25" i="2"/>
  <c r="K15" i="2"/>
  <c r="K12" i="2"/>
  <c r="L16" i="2"/>
  <c r="CF41" i="2"/>
  <c r="K72" i="2"/>
  <c r="K71" i="2"/>
  <c r="CF39" i="2" s="1"/>
  <c r="L69" i="2"/>
  <c r="CF37" i="2"/>
  <c r="L61" i="2"/>
  <c r="K65" i="2"/>
  <c r="K63" i="2"/>
  <c r="K44" i="2"/>
  <c r="L49" i="2"/>
  <c r="K46" i="2"/>
  <c r="L52" i="2"/>
  <c r="L55" i="2"/>
  <c r="K56" i="2"/>
  <c r="L38" i="2"/>
  <c r="K37" i="2"/>
  <c r="L40" i="2"/>
  <c r="L17" i="2"/>
  <c r="CF11" i="2" s="1"/>
  <c r="L15" i="2"/>
  <c r="CF10" i="2" s="1"/>
  <c r="K13" i="2"/>
  <c r="K52" i="2"/>
  <c r="L57" i="2"/>
  <c r="K54" i="2"/>
  <c r="CF28" i="2"/>
  <c r="K45" i="2"/>
  <c r="L48" i="2"/>
  <c r="CF27" i="2" s="1"/>
  <c r="L46" i="2"/>
  <c r="CF26" i="2" s="1"/>
  <c r="L94" i="2"/>
  <c r="CF50" i="2" s="1"/>
  <c r="L97" i="2"/>
  <c r="K93" i="2"/>
  <c r="CF38" i="2"/>
  <c r="K70" i="2"/>
  <c r="K68" i="2"/>
  <c r="L72" i="2"/>
  <c r="CF33" i="2" l="1"/>
  <c r="CF44" i="2"/>
  <c r="CF40" i="2"/>
  <c r="CF52" i="2"/>
  <c r="CF23" i="2"/>
  <c r="CF51" i="2"/>
  <c r="CF24" i="2"/>
  <c r="CF36" i="2"/>
  <c r="CF32" i="2"/>
  <c r="CF30" i="2"/>
  <c r="CF18" i="2"/>
  <c r="CF25" i="2"/>
  <c r="CF21" i="2"/>
  <c r="CF43" i="2"/>
  <c r="CF35" i="2"/>
  <c r="CF13" i="2"/>
  <c r="CF31" i="2"/>
  <c r="CG44" i="2" l="1"/>
  <c r="CG36" i="2"/>
  <c r="CG28" i="2"/>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K27" i="2" s="1"/>
  <c r="CH14" i="2"/>
  <c r="CJ14" i="2" s="1"/>
  <c r="CH25" i="2"/>
  <c r="N39" i="2" s="1"/>
  <c r="CH45" i="2"/>
  <c r="CH19" i="2"/>
  <c r="CK19" i="2" s="1"/>
  <c r="CH44" i="2"/>
  <c r="N77" i="2" s="1"/>
  <c r="CH40" i="2"/>
  <c r="O73" i="2" s="1"/>
  <c r="CH48" i="2"/>
  <c r="O89" i="2" s="1"/>
  <c r="CH8" i="2"/>
  <c r="CI8" i="2" s="1"/>
  <c r="CH34" i="2"/>
  <c r="N62" i="2" s="1"/>
  <c r="CH52" i="2"/>
  <c r="N93" i="2" s="1"/>
  <c r="CH13" i="2"/>
  <c r="O13" i="2" s="1"/>
  <c r="CH28" i="2"/>
  <c r="CL28" i="2" s="1"/>
  <c r="CH41" i="2"/>
  <c r="CK41" i="2" s="1"/>
  <c r="CH7" i="2"/>
  <c r="O6" i="2" s="1"/>
  <c r="CH23" i="2"/>
  <c r="CH12" i="2"/>
  <c r="O17" i="2" s="1"/>
  <c r="CH39" i="2"/>
  <c r="CI39" i="2" s="1"/>
  <c r="CH35" i="2"/>
  <c r="O63" i="2" s="1"/>
  <c r="CH11" i="2"/>
  <c r="O14" i="2" s="1"/>
  <c r="CH15" i="2"/>
  <c r="CL15" i="2" s="1"/>
  <c r="CH21" i="2"/>
  <c r="CK21" i="2" s="1"/>
  <c r="CH29" i="2"/>
  <c r="O45" i="2" s="1"/>
  <c r="CH49" i="2"/>
  <c r="CL49" i="2" s="1"/>
  <c r="CH24" i="2"/>
  <c r="CH20" i="2"/>
  <c r="CJ20" i="2" s="1"/>
  <c r="CH53" i="2"/>
  <c r="CI53" i="2" s="1"/>
  <c r="CH26" i="2"/>
  <c r="CK26" i="2" s="1"/>
  <c r="CH6" i="2"/>
  <c r="CK6" i="2" s="1"/>
  <c r="CH43" i="2"/>
  <c r="N80" i="2" s="1"/>
  <c r="CH17" i="2"/>
  <c r="CI17" i="2" s="1"/>
  <c r="CH10" i="2"/>
  <c r="CK10" i="2" s="1"/>
  <c r="CH38" i="2"/>
  <c r="CL38" i="2" s="1"/>
  <c r="CH50" i="2"/>
  <c r="CH32" i="2"/>
  <c r="CK32" i="2" s="1"/>
  <c r="CH36" i="2"/>
  <c r="O62" i="2" s="1"/>
  <c r="CH51" i="2"/>
  <c r="O92" i="2" s="1"/>
  <c r="CH42" i="2"/>
  <c r="CJ42" i="2" s="1"/>
  <c r="CH46" i="2"/>
  <c r="N84" i="2" s="1"/>
  <c r="CH31" i="2"/>
  <c r="N56" i="2" s="1"/>
  <c r="CH22" i="2"/>
  <c r="CL22" i="2" s="1"/>
  <c r="CH37" i="2"/>
  <c r="CK37" i="2" s="1"/>
  <c r="CH30" i="2"/>
  <c r="CK30" i="2" s="1"/>
  <c r="CH47" i="2"/>
  <c r="CH18" i="2"/>
  <c r="CH9" i="2"/>
  <c r="O5" i="2" s="1"/>
  <c r="CH33" i="2"/>
  <c r="CH16" i="2"/>
  <c r="CL16" i="2" s="1"/>
  <c r="CJ47" i="2" l="1"/>
  <c r="O47" i="2"/>
  <c r="O44" i="2"/>
  <c r="N48" i="2"/>
  <c r="O31" i="2"/>
  <c r="N33" i="2"/>
  <c r="O28" i="2"/>
  <c r="N17" i="2"/>
  <c r="O12" i="2"/>
  <c r="N60" i="2"/>
  <c r="CL41" i="2"/>
  <c r="O65" i="2"/>
  <c r="O7" i="2"/>
  <c r="N79" i="2"/>
  <c r="O37" i="2"/>
  <c r="N41" i="2"/>
  <c r="N81" i="2"/>
  <c r="O77" i="2"/>
  <c r="CI44" i="2" s="1"/>
  <c r="CI45" i="2"/>
  <c r="O70" i="2"/>
  <c r="N86" i="2"/>
  <c r="CL14" i="2"/>
  <c r="O76" i="2"/>
  <c r="CJ34" i="2"/>
  <c r="O97" i="2"/>
  <c r="CJ51" i="2" s="1"/>
  <c r="CK14" i="2"/>
  <c r="N20" i="2"/>
  <c r="N23" i="2"/>
  <c r="O24" i="2"/>
  <c r="CI14" i="2"/>
  <c r="O48" i="2"/>
  <c r="O46" i="2"/>
  <c r="N71" i="2"/>
  <c r="CJ41" i="2"/>
  <c r="N45" i="2"/>
  <c r="O79" i="2"/>
  <c r="CJ45" i="2" s="1"/>
  <c r="O33" i="2"/>
  <c r="CI19" i="2" s="1"/>
  <c r="CK34" i="2"/>
  <c r="O57" i="2"/>
  <c r="CK33" i="2" s="1"/>
  <c r="CJ50" i="2"/>
  <c r="N54" i="2"/>
  <c r="CJ32" i="2" s="1"/>
  <c r="CJ28" i="2"/>
  <c r="N94" i="2"/>
  <c r="CK52" i="2" s="1"/>
  <c r="N92" i="2"/>
  <c r="CK51" i="2" s="1"/>
  <c r="O96" i="2"/>
  <c r="CL34" i="2"/>
  <c r="N52" i="2"/>
  <c r="CI34" i="2"/>
  <c r="CJ30" i="2"/>
  <c r="N5" i="2"/>
  <c r="CL8" i="2"/>
  <c r="N85" i="2"/>
  <c r="CJ8" i="2"/>
  <c r="O86" i="2"/>
  <c r="CK8" i="2"/>
  <c r="N4" i="2"/>
  <c r="CK48" i="2"/>
  <c r="N15" i="2"/>
  <c r="CK12" i="2" s="1"/>
  <c r="CJ17" i="2"/>
  <c r="O8" i="2"/>
  <c r="N7" i="2"/>
  <c r="N24" i="2"/>
  <c r="CI6" i="2"/>
  <c r="CI48" i="2"/>
  <c r="CL17" i="2"/>
  <c r="O9" i="2"/>
  <c r="N12" i="2"/>
  <c r="CJ6" i="2"/>
  <c r="CL6" i="2"/>
  <c r="CK38" i="2"/>
  <c r="N38" i="2"/>
  <c r="CK7" i="2"/>
  <c r="CI43" i="2"/>
  <c r="O40" i="2"/>
  <c r="CI23" i="2" s="1"/>
  <c r="CK17" i="2"/>
  <c r="CJ7" i="2"/>
  <c r="CI22" i="2"/>
  <c r="O52" i="2"/>
  <c r="N97" i="2"/>
  <c r="CJ52" i="2" s="1"/>
  <c r="CJ44" i="2"/>
  <c r="O21" i="2"/>
  <c r="N69" i="2"/>
  <c r="N22" i="2"/>
  <c r="CI40" i="2"/>
  <c r="O38" i="2"/>
  <c r="N37" i="2"/>
  <c r="CJ25" i="2" s="1"/>
  <c r="O36" i="2"/>
  <c r="CK20" i="2"/>
  <c r="O16" i="2"/>
  <c r="CJ13" i="2" s="1"/>
  <c r="CI20" i="2"/>
  <c r="CL7" i="2"/>
  <c r="N29" i="2"/>
  <c r="O78" i="2"/>
  <c r="O69" i="2"/>
  <c r="O56" i="2"/>
  <c r="N14" i="2"/>
  <c r="CK11" i="2" s="1"/>
  <c r="CJ11" i="2"/>
  <c r="N72" i="2"/>
  <c r="N44" i="2"/>
  <c r="CJ27" i="2" s="1"/>
  <c r="CK13" i="2"/>
  <c r="O23" i="2"/>
  <c r="CI11" i="2"/>
  <c r="O93" i="2"/>
  <c r="CI52" i="2" s="1"/>
  <c r="CI28" i="2"/>
  <c r="O25" i="2"/>
  <c r="N13" i="2"/>
  <c r="CI13" i="2" s="1"/>
  <c r="N95" i="2"/>
  <c r="O30" i="2"/>
  <c r="N57" i="2"/>
  <c r="CK28" i="2"/>
  <c r="CI51" i="2"/>
  <c r="CL46" i="2"/>
  <c r="N96" i="2"/>
  <c r="O53" i="2"/>
  <c r="CI32" i="2" s="1"/>
  <c r="CI16" i="2"/>
  <c r="O55" i="2"/>
  <c r="CJ33" i="2" s="1"/>
  <c r="O15" i="2"/>
  <c r="CI10" i="2" s="1"/>
  <c r="CI12" i="2"/>
  <c r="CJ53" i="2"/>
  <c r="N55" i="2"/>
  <c r="CI31" i="2" s="1"/>
  <c r="CK16" i="2"/>
  <c r="CJ12" i="2"/>
  <c r="CK53" i="2"/>
  <c r="CL20" i="2"/>
  <c r="CI36" i="2"/>
  <c r="N21" i="2"/>
  <c r="CJ16" i="2"/>
  <c r="CL53" i="2"/>
  <c r="O68" i="2"/>
  <c r="CI33" i="2"/>
  <c r="CI46" i="2"/>
  <c r="O81" i="2"/>
  <c r="CK45" i="2" s="1"/>
  <c r="O71" i="2"/>
  <c r="O22" i="2"/>
  <c r="CJ46" i="2"/>
  <c r="N78" i="2"/>
  <c r="CK44" i="2" s="1"/>
  <c r="N76" i="2"/>
  <c r="N65" i="2"/>
  <c r="CL42" i="2"/>
  <c r="CI41" i="2"/>
  <c r="CL37" i="2"/>
  <c r="CI42" i="2"/>
  <c r="N9" i="2"/>
  <c r="O20" i="2"/>
  <c r="CK46" i="2"/>
  <c r="O39" i="2"/>
  <c r="CI25" i="2" s="1"/>
  <c r="O80" i="2"/>
  <c r="O49" i="2"/>
  <c r="N40" i="2"/>
  <c r="CI24" i="2" s="1"/>
  <c r="CK42" i="2"/>
  <c r="CJ39" i="2"/>
  <c r="CL39" i="2" s="1"/>
  <c r="CI18" i="2"/>
  <c r="CK50" i="2"/>
  <c r="N68" i="2"/>
  <c r="N70" i="2"/>
  <c r="CJ37" i="2"/>
  <c r="CI7" i="2"/>
  <c r="N25" i="2"/>
  <c r="N73" i="2"/>
  <c r="CJ40" i="2" s="1"/>
  <c r="N46" i="2"/>
  <c r="O72" i="2"/>
  <c r="CK15" i="2"/>
  <c r="O87" i="2"/>
  <c r="O41" i="2"/>
  <c r="CK25" i="2" s="1"/>
  <c r="O32" i="2"/>
  <c r="CI29" i="2"/>
  <c r="CK9" i="2"/>
  <c r="N8" i="2"/>
  <c r="N89" i="2"/>
  <c r="CJ48" i="2" s="1"/>
  <c r="N36" i="2"/>
  <c r="CK23" i="2" s="1"/>
  <c r="N30" i="2"/>
  <c r="CJ29" i="2"/>
  <c r="CL9" i="2"/>
  <c r="CL13" i="2"/>
  <c r="CI47" i="2"/>
  <c r="CL47" i="2" s="1"/>
  <c r="CJ22" i="2"/>
  <c r="O29" i="2"/>
  <c r="CL29" i="2"/>
  <c r="CK22" i="2"/>
  <c r="CK18" i="2"/>
  <c r="O64" i="2"/>
  <c r="CJ35" i="2" s="1"/>
  <c r="N31" i="2"/>
  <c r="N16" i="2"/>
  <c r="CJ10" i="2" s="1"/>
  <c r="CL10" i="2" s="1"/>
  <c r="O94" i="2"/>
  <c r="CI50" i="2" s="1"/>
  <c r="CL50" i="2" s="1"/>
  <c r="N61" i="2"/>
  <c r="CI21" i="2"/>
  <c r="N32" i="2"/>
  <c r="CJ18" i="2" s="1"/>
  <c r="N64" i="2"/>
  <c r="CJ36" i="2" s="1"/>
  <c r="O84" i="2"/>
  <c r="N49" i="2"/>
  <c r="CI26" i="2" s="1"/>
  <c r="CI9" i="2"/>
  <c r="N47" i="2"/>
  <c r="CI27" i="2" s="1"/>
  <c r="CK29" i="2"/>
  <c r="CJ26" i="2"/>
  <c r="N87" i="2"/>
  <c r="CK47" i="2" s="1"/>
  <c r="CL30" i="2"/>
  <c r="CI15" i="2"/>
  <c r="N28" i="2"/>
  <c r="CJ9" i="2"/>
  <c r="CJ15" i="2"/>
  <c r="CJ21" i="2"/>
  <c r="CI38" i="2"/>
  <c r="N88" i="2"/>
  <c r="CI30" i="2"/>
  <c r="CJ38" i="2"/>
  <c r="N63" i="2"/>
  <c r="CK35" i="2" s="1"/>
  <c r="O85" i="2"/>
  <c r="O60" i="2"/>
  <c r="CI35" i="2"/>
  <c r="O54" i="2"/>
  <c r="O88" i="2"/>
  <c r="CI37" i="2"/>
  <c r="CK49" i="2"/>
  <c r="N53" i="2"/>
  <c r="O95" i="2"/>
  <c r="O4" i="2"/>
  <c r="N6" i="2"/>
  <c r="CI49" i="2"/>
  <c r="O61" i="2"/>
  <c r="CK36" i="2" s="1"/>
  <c r="CJ49" i="2"/>
  <c r="CL48" i="2" l="1"/>
  <c r="CJ43" i="2"/>
  <c r="CL33" i="2"/>
  <c r="CL45" i="2"/>
  <c r="CK43" i="2"/>
  <c r="CK31" i="2"/>
  <c r="CJ31" i="2"/>
  <c r="CL31" i="2" s="1"/>
  <c r="CJ23" i="2"/>
  <c r="CL23" i="2" s="1"/>
  <c r="CJ24" i="2"/>
  <c r="CL24" i="2" s="1"/>
  <c r="CL43" i="2"/>
  <c r="CK39" i="2"/>
  <c r="CK40" i="2"/>
  <c r="CL40" i="2"/>
  <c r="CK24" i="2"/>
  <c r="CL52" i="2"/>
  <c r="CL32" i="2"/>
  <c r="CL12" i="2"/>
  <c r="CL51" i="2"/>
  <c r="CL27" i="2"/>
  <c r="CL25" i="2"/>
  <c r="CL44" i="2"/>
  <c r="CL36" i="2"/>
  <c r="CL11" i="2"/>
  <c r="CL18" i="2"/>
  <c r="CL21" i="2"/>
  <c r="CJ19" i="2"/>
  <c r="CL19" i="2" s="1"/>
  <c r="CL35" i="2"/>
  <c r="CL26" i="2"/>
  <c r="CM43" i="2" l="1"/>
  <c r="CM41" i="2"/>
  <c r="CM24" i="2"/>
  <c r="CM44" i="2"/>
  <c r="CM11" i="2"/>
  <c r="CM52" i="2"/>
  <c r="CM51" i="2"/>
  <c r="CM33" i="2"/>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CN27" i="2"/>
  <c r="CN23" i="2"/>
  <c r="CN28" i="2"/>
  <c r="CP28" i="2" s="1"/>
  <c r="CN42" i="2"/>
  <c r="CO42" i="2" s="1"/>
  <c r="CN9" i="2"/>
  <c r="Q8" i="2" s="1"/>
  <c r="CN38" i="2"/>
  <c r="CO38" i="2" s="1"/>
  <c r="CN20" i="2"/>
  <c r="CQ20" i="2" s="1"/>
  <c r="CN46" i="2"/>
  <c r="CP46" i="2" s="1"/>
  <c r="CN22" i="2"/>
  <c r="CO22" i="2" s="1"/>
  <c r="CN26" i="2"/>
  <c r="R49" i="2" s="1"/>
  <c r="CN33" i="2"/>
  <c r="Q55" i="2" s="1"/>
  <c r="CN24" i="2"/>
  <c r="R38" i="2" s="1"/>
  <c r="CN41" i="2"/>
  <c r="Q72" i="2" s="1"/>
  <c r="CN29" i="2"/>
  <c r="CO29" i="2" s="1"/>
  <c r="CN18" i="2"/>
  <c r="R32" i="2" s="1"/>
  <c r="CN16" i="2"/>
  <c r="CP16" i="2" s="1"/>
  <c r="CN12" i="2"/>
  <c r="CN13" i="2"/>
  <c r="Q14" i="2" s="1"/>
  <c r="CN53" i="2"/>
  <c r="Q96" i="2" s="1"/>
  <c r="CN8" i="2"/>
  <c r="CO8" i="2" s="1"/>
  <c r="CN31" i="2"/>
  <c r="R55" i="2" s="1"/>
  <c r="CN39" i="2"/>
  <c r="CN47" i="2"/>
  <c r="CN21" i="2"/>
  <c r="Q32" i="2" s="1"/>
  <c r="CN40" i="2"/>
  <c r="CN14" i="2"/>
  <c r="CO14" i="2" s="1"/>
  <c r="CN7" i="2"/>
  <c r="Q9" i="2" s="1"/>
  <c r="CN50" i="2"/>
  <c r="CN45" i="2"/>
  <c r="CN51" i="2"/>
  <c r="R92" i="2" s="1"/>
  <c r="CN52" i="2"/>
  <c r="R94" i="2" s="1"/>
  <c r="CN11" i="2"/>
  <c r="R14" i="2" s="1"/>
  <c r="CN17" i="2"/>
  <c r="CP17" i="2" s="1"/>
  <c r="CN49" i="2"/>
  <c r="CO49" i="2" s="1"/>
  <c r="CN44" i="2"/>
  <c r="Q77" i="2" s="1"/>
  <c r="CN37" i="2"/>
  <c r="Q65" i="2" s="1"/>
  <c r="CN25" i="2"/>
  <c r="Q39" i="2" s="1"/>
  <c r="CN6" i="2"/>
  <c r="CO6" i="2" s="1"/>
  <c r="CN15" i="2"/>
  <c r="CP15" i="2" s="1"/>
  <c r="CN34" i="2"/>
  <c r="CP34" i="2" s="1"/>
  <c r="CN48" i="2"/>
  <c r="R89" i="2" s="1"/>
  <c r="CN30" i="2"/>
  <c r="CN10" i="2"/>
  <c r="Q12" i="2" s="1"/>
  <c r="CN35" i="2"/>
  <c r="R60" i="2" s="1"/>
  <c r="CN19" i="2"/>
  <c r="R31" i="2" s="1"/>
  <c r="CN32" i="2"/>
  <c r="R56" i="2" s="1"/>
  <c r="CN43" i="2"/>
  <c r="Q80" i="2" s="1"/>
  <c r="CQ28" i="2"/>
  <c r="R62" i="2"/>
  <c r="Q61" i="2"/>
  <c r="R64" i="2"/>
  <c r="R44" i="2"/>
  <c r="R47" i="2"/>
  <c r="Q48" i="2"/>
  <c r="CQ34" i="2"/>
  <c r="R65" i="2"/>
  <c r="Q56" i="2"/>
  <c r="R29" i="2"/>
  <c r="CO46" i="2" l="1"/>
  <c r="CQ46" i="2"/>
  <c r="CO9" i="2"/>
  <c r="Q38" i="2"/>
  <c r="Q36" i="2"/>
  <c r="Q6" i="2"/>
  <c r="Q15" i="2"/>
  <c r="R86" i="2"/>
  <c r="R36" i="2"/>
  <c r="Q40" i="2"/>
  <c r="R39" i="2"/>
  <c r="R70" i="2"/>
  <c r="R41" i="2"/>
  <c r="CQ41" i="2"/>
  <c r="CO41" i="2"/>
  <c r="R30" i="2"/>
  <c r="Q29" i="2"/>
  <c r="CP41" i="2"/>
  <c r="CO20" i="2"/>
  <c r="Q84" i="2"/>
  <c r="Q31" i="2"/>
  <c r="R88" i="2"/>
  <c r="Q86" i="2"/>
  <c r="R4" i="2"/>
  <c r="R6" i="2"/>
  <c r="Q70" i="2"/>
  <c r="Q78" i="2"/>
  <c r="CQ38" i="2"/>
  <c r="Q76" i="2"/>
  <c r="CP42" i="2"/>
  <c r="R24" i="2"/>
  <c r="R72" i="2"/>
  <c r="R81" i="2"/>
  <c r="CP38" i="2"/>
  <c r="CP14" i="2"/>
  <c r="R63" i="2"/>
  <c r="Q68" i="2"/>
  <c r="CQ14" i="2"/>
  <c r="R84" i="2"/>
  <c r="Q73" i="2"/>
  <c r="R87" i="2"/>
  <c r="Q89" i="2"/>
  <c r="CP47" i="2"/>
  <c r="R73" i="2"/>
  <c r="R16" i="2"/>
  <c r="Q69" i="2"/>
  <c r="R46" i="2"/>
  <c r="R48" i="2"/>
  <c r="Q45" i="2"/>
  <c r="CO28" i="2"/>
  <c r="R5" i="2"/>
  <c r="CQ9" i="2"/>
  <c r="CP9" i="2"/>
  <c r="Q64" i="2"/>
  <c r="R97" i="2"/>
  <c r="Q24" i="2"/>
  <c r="R21" i="2"/>
  <c r="Q93" i="2"/>
  <c r="Q22" i="2"/>
  <c r="Q49" i="2"/>
  <c r="Q37" i="2"/>
  <c r="R40" i="2"/>
  <c r="R69" i="2"/>
  <c r="CP40" i="2" s="1"/>
  <c r="Q71" i="2"/>
  <c r="Q23" i="2"/>
  <c r="CP49" i="2"/>
  <c r="Q20" i="2"/>
  <c r="Q47" i="2"/>
  <c r="CO7" i="2"/>
  <c r="Q57" i="2"/>
  <c r="CP7" i="2"/>
  <c r="CQ42" i="2"/>
  <c r="CQ7" i="2"/>
  <c r="R53" i="2"/>
  <c r="R12" i="2"/>
  <c r="CP29" i="2"/>
  <c r="CQ29" i="2"/>
  <c r="CQ17" i="2"/>
  <c r="R95" i="2"/>
  <c r="CO17" i="2"/>
  <c r="Q95" i="2"/>
  <c r="R13" i="2"/>
  <c r="CP6" i="2"/>
  <c r="Q97" i="2"/>
  <c r="Q16" i="2"/>
  <c r="Q44" i="2"/>
  <c r="CP27" i="2" s="1"/>
  <c r="R54" i="2"/>
  <c r="R78" i="2"/>
  <c r="Q81" i="2"/>
  <c r="CP53" i="2"/>
  <c r="CP22" i="2"/>
  <c r="Q46" i="2"/>
  <c r="Q53" i="2"/>
  <c r="R93" i="2"/>
  <c r="R77" i="2"/>
  <c r="CO53" i="2"/>
  <c r="R85" i="2"/>
  <c r="CP48" i="2" s="1"/>
  <c r="Q85" i="2"/>
  <c r="CQ53" i="2"/>
  <c r="CQ22" i="2"/>
  <c r="Q7" i="2"/>
  <c r="CQ6" i="2"/>
  <c r="CQ15" i="2"/>
  <c r="Q79" i="2"/>
  <c r="Q87" i="2"/>
  <c r="CP26" i="2"/>
  <c r="Q88" i="2"/>
  <c r="R33" i="2"/>
  <c r="CP19" i="2" s="1"/>
  <c r="Q17" i="2"/>
  <c r="CP8" i="2"/>
  <c r="CQ16" i="2"/>
  <c r="CO10" i="2"/>
  <c r="R76" i="2"/>
  <c r="R68" i="2"/>
  <c r="R80" i="2"/>
  <c r="R71" i="2"/>
  <c r="Q94" i="2"/>
  <c r="CO52" i="2" s="1"/>
  <c r="R37" i="2"/>
  <c r="CO24" i="2" s="1"/>
  <c r="Q30" i="2"/>
  <c r="R96" i="2"/>
  <c r="R22" i="2"/>
  <c r="Q28" i="2"/>
  <c r="Q92" i="2"/>
  <c r="R20" i="2"/>
  <c r="Q33" i="2"/>
  <c r="R17" i="2"/>
  <c r="CO11" i="2" s="1"/>
  <c r="CO50" i="2"/>
  <c r="CQ50" i="2" s="1"/>
  <c r="Q25" i="2"/>
  <c r="CP50" i="2"/>
  <c r="CO15" i="2"/>
  <c r="Q41" i="2"/>
  <c r="R28" i="2"/>
  <c r="CP18" i="2" s="1"/>
  <c r="R15" i="2"/>
  <c r="CP10" i="2" s="1"/>
  <c r="CQ10" i="2" s="1"/>
  <c r="CP37" i="2"/>
  <c r="R23" i="2"/>
  <c r="R61" i="2"/>
  <c r="Q5" i="2"/>
  <c r="R9" i="2"/>
  <c r="CQ37" i="2"/>
  <c r="Q63" i="2"/>
  <c r="CO37" i="2"/>
  <c r="CO40" i="2"/>
  <c r="CQ8" i="2"/>
  <c r="Q4" i="2"/>
  <c r="CO16" i="2"/>
  <c r="R45" i="2"/>
  <c r="Q13" i="2"/>
  <c r="CP13" i="2" s="1"/>
  <c r="R7" i="2"/>
  <c r="R25" i="2"/>
  <c r="R8" i="2"/>
  <c r="Q21" i="2"/>
  <c r="CQ49" i="2"/>
  <c r="R52" i="2"/>
  <c r="CP20" i="2"/>
  <c r="CO13" i="2"/>
  <c r="CQ13" i="2" s="1"/>
  <c r="R79" i="2"/>
  <c r="CO30" i="2"/>
  <c r="CP30" i="2"/>
  <c r="CQ30" i="2"/>
  <c r="Q52" i="2"/>
  <c r="CP31" i="2" s="1"/>
  <c r="Q54" i="2"/>
  <c r="R57" i="2"/>
  <c r="CO25" i="2"/>
  <c r="CO21" i="2"/>
  <c r="Q62" i="2"/>
  <c r="Q60" i="2"/>
  <c r="CO34" i="2"/>
  <c r="CO26" i="2"/>
  <c r="CP21" i="2"/>
  <c r="CQ21" i="2" s="1"/>
  <c r="CP25" i="2"/>
  <c r="CO45" i="2" l="1"/>
  <c r="CO23" i="2"/>
  <c r="CO47" i="2"/>
  <c r="CQ47" i="2" s="1"/>
  <c r="CO48" i="2"/>
  <c r="CQ48" i="2" s="1"/>
  <c r="CP45" i="2"/>
  <c r="CQ45" i="2" s="1"/>
  <c r="CP24" i="2"/>
  <c r="CQ24" i="2" s="1"/>
  <c r="CP23" i="2"/>
  <c r="CQ23" i="2" s="1"/>
  <c r="CP33" i="2"/>
  <c r="CO33" i="2"/>
  <c r="CP44" i="2"/>
  <c r="CO39" i="2"/>
  <c r="CQ40" i="2"/>
  <c r="CP39" i="2"/>
  <c r="CP52" i="2"/>
  <c r="CQ52" i="2" s="1"/>
  <c r="CO44" i="2"/>
  <c r="CQ44" i="2" s="1"/>
  <c r="CP32" i="2"/>
  <c r="CO12" i="2"/>
  <c r="CQ25" i="2"/>
  <c r="CP35" i="2"/>
  <c r="CQ26" i="2"/>
  <c r="CP51" i="2"/>
  <c r="CP36" i="2"/>
  <c r="CP43" i="2"/>
  <c r="CP12" i="2"/>
  <c r="CO19" i="2"/>
  <c r="CQ19" i="2" s="1"/>
  <c r="CP11" i="2"/>
  <c r="CQ11" i="2" s="1"/>
  <c r="CO18" i="2"/>
  <c r="CQ18" i="2" s="1"/>
  <c r="CO43" i="2"/>
  <c r="CO27" i="2"/>
  <c r="CQ27" i="2" s="1"/>
  <c r="CO51" i="2"/>
  <c r="CQ51" i="2" s="1"/>
  <c r="CO35" i="2"/>
  <c r="CO32" i="2"/>
  <c r="CQ32" i="2" s="1"/>
  <c r="CO36" i="2"/>
  <c r="CO31" i="2"/>
  <c r="CQ31" i="2" s="1"/>
  <c r="CQ33" i="2" l="1"/>
  <c r="CQ35" i="2"/>
  <c r="CQ39" i="2"/>
  <c r="CQ12" i="2"/>
  <c r="CQ43" i="2"/>
  <c r="CQ36" i="2"/>
  <c r="CR8" i="2" s="1"/>
  <c r="CR34" i="2"/>
  <c r="CR12" i="2"/>
  <c r="CR11" i="2"/>
  <c r="CR18" i="2"/>
  <c r="CR43" i="2" l="1"/>
  <c r="CR40" i="2"/>
  <c r="CR21" i="2"/>
  <c r="CR39" i="2"/>
  <c r="CR27" i="2"/>
  <c r="CR28" i="2"/>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T49" i="2" s="1"/>
  <c r="CS38" i="2"/>
  <c r="CT38" i="2" s="1"/>
  <c r="CS46" i="2"/>
  <c r="U88" i="2" s="1"/>
  <c r="CS15" i="2"/>
  <c r="U20" i="2" s="1"/>
  <c r="CS22" i="2"/>
  <c r="U41" i="2" s="1"/>
  <c r="CS31" i="2"/>
  <c r="U52" i="2" s="1"/>
  <c r="CS17" i="2"/>
  <c r="CT17" i="2" s="1"/>
  <c r="CS53" i="2"/>
  <c r="CT53" i="2" s="1"/>
  <c r="CS43" i="2"/>
  <c r="T80" i="2" s="1"/>
  <c r="CS11" i="2"/>
  <c r="T17" i="2" s="1"/>
  <c r="CS13" i="2"/>
  <c r="U13" i="2" s="1"/>
  <c r="CS29" i="2"/>
  <c r="T47" i="2" s="1"/>
  <c r="CS28" i="2"/>
  <c r="T45" i="2" s="1"/>
  <c r="CS50" i="2"/>
  <c r="CS37" i="2"/>
  <c r="U61" i="2" s="1"/>
  <c r="CS8" i="2"/>
  <c r="U7" i="2" s="1"/>
  <c r="CS23" i="2"/>
  <c r="U39" i="2" s="1"/>
  <c r="CS25" i="2"/>
  <c r="T39" i="2" s="1"/>
  <c r="CS24" i="2"/>
  <c r="U40" i="2" s="1"/>
  <c r="CS16" i="2"/>
  <c r="CT16" i="2" s="1"/>
  <c r="CS47" i="2"/>
  <c r="U84" i="2" s="1"/>
  <c r="CS19" i="2"/>
  <c r="U31" i="2" s="1"/>
  <c r="CS20" i="2"/>
  <c r="CS42" i="2"/>
  <c r="CT42" i="2" s="1"/>
  <c r="CS51" i="2"/>
  <c r="T97" i="2" s="1"/>
  <c r="CS9" i="2"/>
  <c r="CT9" i="2" s="1"/>
  <c r="CS52" i="2"/>
  <c r="T93" i="2" s="1"/>
  <c r="CS44" i="2"/>
  <c r="U80" i="2" s="1"/>
  <c r="CS39" i="2"/>
  <c r="CS18" i="2"/>
  <c r="T30" i="2" s="1"/>
  <c r="CS10" i="2"/>
  <c r="T12" i="2" s="1"/>
  <c r="CS21" i="2"/>
  <c r="T31" i="2" s="1"/>
  <c r="CS14" i="2"/>
  <c r="CT14" i="2" s="1"/>
  <c r="CS36" i="2"/>
  <c r="CS48" i="2"/>
  <c r="T85" i="2" s="1"/>
  <c r="CS40" i="2"/>
  <c r="CS45" i="2"/>
  <c r="T81" i="2" s="1"/>
  <c r="CS12" i="2"/>
  <c r="U15" i="2" s="1"/>
  <c r="CS30" i="2"/>
  <c r="T52" i="2" s="1"/>
  <c r="CS6" i="2"/>
  <c r="CS35" i="2"/>
  <c r="CS32" i="2"/>
  <c r="U54" i="2" s="1"/>
  <c r="CS27" i="2"/>
  <c r="CS41" i="2"/>
  <c r="CS7" i="2"/>
  <c r="CT7" i="2" s="1"/>
  <c r="CS33" i="2"/>
  <c r="CS26" i="2"/>
  <c r="U49" i="2" s="1"/>
  <c r="U65" i="2"/>
  <c r="T62" i="2"/>
  <c r="U28" i="2"/>
  <c r="T87" i="2"/>
  <c r="T88" i="2"/>
  <c r="T21" i="2"/>
  <c r="U85" i="2"/>
  <c r="T86" i="2"/>
  <c r="CT34" i="2"/>
  <c r="T84" i="2"/>
  <c r="T70" i="2"/>
  <c r="T68" i="2"/>
  <c r="U55" i="2" l="1"/>
  <c r="T24" i="2"/>
  <c r="U72" i="2"/>
  <c r="U76" i="2"/>
  <c r="U22" i="2"/>
  <c r="CT15" i="2"/>
  <c r="T56" i="2"/>
  <c r="U46" i="2"/>
  <c r="U48" i="2"/>
  <c r="T33" i="2"/>
  <c r="U45" i="2"/>
  <c r="T36" i="2"/>
  <c r="CT23" i="2" s="1"/>
  <c r="T38" i="2"/>
  <c r="CT28" i="2"/>
  <c r="CT22" i="2"/>
  <c r="U21" i="2"/>
  <c r="T49" i="2"/>
  <c r="T95" i="2"/>
  <c r="U93" i="2"/>
  <c r="CT46" i="2"/>
  <c r="T15" i="2"/>
  <c r="T14" i="2"/>
  <c r="U16" i="2"/>
  <c r="T16" i="2"/>
  <c r="CT29" i="2"/>
  <c r="U86" i="2"/>
  <c r="U38" i="2"/>
  <c r="U56" i="2"/>
  <c r="CT8" i="2"/>
  <c r="T41" i="2"/>
  <c r="T63" i="2"/>
  <c r="T92" i="2"/>
  <c r="T37" i="2"/>
  <c r="U37" i="2"/>
  <c r="CT24" i="2" s="1"/>
  <c r="U96" i="2"/>
  <c r="U12" i="2"/>
  <c r="T5" i="2"/>
  <c r="U36" i="2"/>
  <c r="T40" i="2"/>
  <c r="U14" i="2"/>
  <c r="CT13" i="2" s="1"/>
  <c r="CT37" i="2"/>
  <c r="T65" i="2"/>
  <c r="U9" i="2"/>
  <c r="T94" i="2"/>
  <c r="CT52" i="2" s="1"/>
  <c r="T25" i="2"/>
  <c r="T96" i="2"/>
  <c r="T22" i="2"/>
  <c r="U79" i="2"/>
  <c r="T29" i="2"/>
  <c r="U30" i="2"/>
  <c r="T6" i="2"/>
  <c r="T20" i="2"/>
  <c r="U97" i="2"/>
  <c r="CT51" i="2" s="1"/>
  <c r="U4" i="2"/>
  <c r="CT47" i="2"/>
  <c r="U78" i="2"/>
  <c r="U94" i="2"/>
  <c r="U5" i="2"/>
  <c r="U24" i="2"/>
  <c r="U87" i="2"/>
  <c r="T89" i="2"/>
  <c r="T23" i="2"/>
  <c r="CT20" i="2"/>
  <c r="T77" i="2"/>
  <c r="U23" i="2"/>
  <c r="T78" i="2"/>
  <c r="CT18" i="2"/>
  <c r="U25" i="2"/>
  <c r="U92" i="2"/>
  <c r="CT50" i="2" s="1"/>
  <c r="U81" i="2"/>
  <c r="T76" i="2"/>
  <c r="U33" i="2"/>
  <c r="CT19" i="2" s="1"/>
  <c r="T8" i="2"/>
  <c r="U95" i="2"/>
  <c r="T32" i="2"/>
  <c r="CT21" i="2"/>
  <c r="U32" i="2"/>
  <c r="T28" i="2"/>
  <c r="U71" i="2"/>
  <c r="T73" i="2"/>
  <c r="U68" i="2"/>
  <c r="CT48" i="2"/>
  <c r="U89" i="2"/>
  <c r="T13" i="2"/>
  <c r="T61" i="2"/>
  <c r="U62" i="2"/>
  <c r="U64" i="2"/>
  <c r="CT35" i="2" s="1"/>
  <c r="U77" i="2"/>
  <c r="U70" i="2"/>
  <c r="U17" i="2"/>
  <c r="T69" i="2"/>
  <c r="U73" i="2"/>
  <c r="U29" i="2"/>
  <c r="U57" i="2"/>
  <c r="CT33" i="2" s="1"/>
  <c r="CT45" i="2"/>
  <c r="T54" i="2"/>
  <c r="T79" i="2"/>
  <c r="CT30" i="2"/>
  <c r="T53" i="2"/>
  <c r="T55" i="2"/>
  <c r="T57" i="2"/>
  <c r="U53" i="2"/>
  <c r="CT12" i="2"/>
  <c r="CT41" i="2"/>
  <c r="T72" i="2"/>
  <c r="T71" i="2"/>
  <c r="U69" i="2"/>
  <c r="U44" i="2"/>
  <c r="CT26" i="2" s="1"/>
  <c r="T48" i="2"/>
  <c r="U47" i="2"/>
  <c r="T46" i="2"/>
  <c r="U6" i="2"/>
  <c r="CT31" i="2"/>
  <c r="T64" i="2"/>
  <c r="CT36" i="2" s="1"/>
  <c r="U63" i="2"/>
  <c r="U60" i="2"/>
  <c r="T7" i="2"/>
  <c r="CT6" i="2"/>
  <c r="T4" i="2"/>
  <c r="U8" i="2"/>
  <c r="T44" i="2"/>
  <c r="T9" i="2"/>
  <c r="CT27" i="2"/>
  <c r="CT25" i="2"/>
  <c r="CT32" i="2"/>
  <c r="CT10" i="2"/>
  <c r="CT40" i="2" l="1"/>
  <c r="CT39" i="2"/>
  <c r="CT11" i="2"/>
  <c r="CT43" i="2"/>
  <c r="CU36" i="2" s="1"/>
  <c r="CT44" i="2"/>
  <c r="CU52" i="2" s="1"/>
  <c r="CU37" i="2"/>
  <c r="CU13" i="2"/>
  <c r="CU46" i="2"/>
  <c r="CU47" i="2"/>
  <c r="CU12" i="2"/>
  <c r="CU32" i="2"/>
  <c r="CU11" i="2"/>
  <c r="CU50" i="2"/>
  <c r="CU38" i="2"/>
  <c r="CU19" i="2"/>
  <c r="CU34" i="2"/>
  <c r="CU51" i="2"/>
  <c r="CU29" i="2"/>
  <c r="CU18" i="2"/>
  <c r="CU22" i="2"/>
  <c r="CU24" i="2"/>
  <c r="CU27" i="2"/>
  <c r="CU28" i="2"/>
  <c r="CU16" i="2"/>
  <c r="CU33" i="2"/>
  <c r="CU40" i="2"/>
  <c r="CU45" i="2"/>
  <c r="CU17" i="2"/>
  <c r="CU7" i="2"/>
  <c r="CU9" i="2"/>
  <c r="CU30" i="2"/>
  <c r="CU6" i="2"/>
  <c r="CU20" i="2"/>
  <c r="CU14" i="2"/>
  <c r="CU26" i="2"/>
  <c r="CU10" i="2"/>
  <c r="CU35" i="2" l="1"/>
  <c r="CU23" i="2"/>
  <c r="CU15" i="2"/>
  <c r="CU31" i="2"/>
  <c r="CU53" i="2"/>
  <c r="CU41" i="2"/>
  <c r="CU25" i="2"/>
  <c r="CU39" i="2"/>
  <c r="CU8" i="2"/>
  <c r="CU48" i="2"/>
  <c r="CU49" i="2"/>
  <c r="CU42" i="2"/>
  <c r="CU21" i="2"/>
  <c r="CU44" i="2"/>
  <c r="CU43" i="2"/>
  <c r="CV9" i="2" l="1"/>
  <c r="CW9" i="2" s="1"/>
  <c r="CV32" i="2"/>
  <c r="CW32" i="2" s="1"/>
  <c r="CV46" i="2"/>
  <c r="CW46" i="2" s="1"/>
  <c r="CV47" i="2"/>
  <c r="CW47" i="2" s="1"/>
  <c r="CV48" i="2"/>
  <c r="CW48" i="2" s="1"/>
  <c r="CV23" i="2"/>
  <c r="CW23" i="2" s="1"/>
  <c r="CV24" i="2"/>
  <c r="CW24" i="2" s="1"/>
  <c r="CV50" i="2"/>
  <c r="CW50" i="2" s="1"/>
  <c r="CV13" i="2"/>
  <c r="CW13" i="2" s="1"/>
  <c r="CV41" i="2"/>
  <c r="CW41" i="2" s="1"/>
  <c r="CV18" i="2"/>
  <c r="CW18" i="2" s="1"/>
  <c r="CV25" i="2"/>
  <c r="CW25" i="2" s="1"/>
  <c r="CV38" i="2"/>
  <c r="CW38" i="2" s="1"/>
  <c r="CV33" i="2"/>
  <c r="CW33" i="2" s="1"/>
  <c r="CV44" i="2"/>
  <c r="CW44" i="2" s="1"/>
  <c r="CV17" i="2"/>
  <c r="CW17" i="2" s="1"/>
  <c r="CV27" i="2"/>
  <c r="CW27" i="2" s="1"/>
  <c r="CV22" i="2"/>
  <c r="CW22" i="2" s="1"/>
  <c r="CV8" i="2"/>
  <c r="CW8" i="2" s="1"/>
  <c r="CV14" i="2"/>
  <c r="CW14" i="2" s="1"/>
  <c r="CV49" i="2"/>
  <c r="CW49" i="2" s="1"/>
  <c r="CV12" i="2"/>
  <c r="CW12" i="2" s="1"/>
  <c r="CV51" i="2"/>
  <c r="CW51" i="2" s="1"/>
  <c r="CV45" i="2"/>
  <c r="CW45" i="2" s="1"/>
  <c r="CV19" i="2"/>
  <c r="CW19" i="2" s="1"/>
  <c r="CV28" i="2"/>
  <c r="CW28" i="2" s="1"/>
  <c r="CV21" i="2"/>
  <c r="CW21" i="2" s="1"/>
  <c r="CV6" i="2"/>
  <c r="CW6" i="2" s="1"/>
  <c r="CV10" i="2"/>
  <c r="CW10" i="2" s="1"/>
  <c r="CV43" i="2"/>
  <c r="CW43" i="2" s="1"/>
  <c r="CV11" i="2"/>
  <c r="CW11" i="2" s="1"/>
  <c r="CV52" i="2"/>
  <c r="CW52" i="2" s="1"/>
  <c r="CV16" i="2"/>
  <c r="CW16" i="2" s="1"/>
  <c r="CV37" i="2"/>
  <c r="CW37" i="2" s="1"/>
  <c r="CV20" i="2"/>
  <c r="CW20" i="2" s="1"/>
  <c r="CV42" i="2"/>
  <c r="CW42" i="2" s="1"/>
  <c r="CV34" i="2"/>
  <c r="CW34" i="2" s="1"/>
  <c r="CV35" i="2"/>
  <c r="CW35" i="2" s="1"/>
  <c r="CV29" i="2"/>
  <c r="CW29" i="2" s="1"/>
  <c r="CV26" i="2"/>
  <c r="CW26" i="2" s="1"/>
  <c r="CV40" i="2"/>
  <c r="CW40" i="2" s="1"/>
  <c r="CV31" i="2"/>
  <c r="CW31" i="2" s="1"/>
  <c r="CV53" i="2"/>
  <c r="CW53" i="2" s="1"/>
  <c r="CV15" i="2"/>
  <c r="CW15" i="2" s="1"/>
  <c r="CV36" i="2"/>
  <c r="CW36" i="2" s="1"/>
  <c r="CV7" i="2"/>
  <c r="CW7" i="2" s="1"/>
  <c r="CV30" i="2"/>
  <c r="CW30" i="2" s="1"/>
  <c r="CV39" i="2"/>
  <c r="CW39" i="2" s="1"/>
  <c r="CX38" i="2" l="1"/>
  <c r="CX44" i="2"/>
  <c r="CX25" i="2"/>
  <c r="CX8" i="2"/>
  <c r="CX14" i="2"/>
  <c r="CX51" i="2"/>
  <c r="CX27" i="2"/>
  <c r="CX9" i="2"/>
  <c r="CX39" i="2"/>
  <c r="CX34" i="2"/>
  <c r="CX22" i="2"/>
  <c r="CX17" i="2"/>
  <c r="CX15" i="2"/>
  <c r="CX11" i="2"/>
  <c r="CX41" i="2"/>
  <c r="CX12" i="2"/>
  <c r="CX47" i="2"/>
  <c r="CX29" i="2"/>
  <c r="CX7" i="2"/>
  <c r="CX33" i="2"/>
  <c r="CX43" i="2"/>
  <c r="CX28" i="2"/>
  <c r="CX23" i="2"/>
  <c r="CX50" i="2"/>
  <c r="CX19" i="2"/>
  <c r="CX6" i="2"/>
  <c r="CX48" i="2"/>
  <c r="CX52" i="2"/>
  <c r="CX13" i="2"/>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49" i="2" s="1"/>
  <c r="DA37" i="2"/>
  <c r="DA52" i="2"/>
  <c r="DA35" i="2" l="1"/>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G22" i="2"/>
  <c r="DB23" i="2"/>
  <c r="DB53" i="2"/>
  <c r="DB12" i="2"/>
  <c r="DB50" i="2"/>
  <c r="DB9" i="2"/>
  <c r="DB8" i="2"/>
  <c r="DB6" i="2"/>
  <c r="DB10" i="2"/>
  <c r="DB13" i="2"/>
  <c r="DB18" i="2"/>
  <c r="DC18" i="2" s="1"/>
  <c r="DB19" i="2"/>
  <c r="DC19" i="2" s="1"/>
  <c r="DB47" i="2"/>
  <c r="DB20" i="2"/>
  <c r="DB16" i="2"/>
  <c r="DB36" i="2"/>
  <c r="DB51" i="2"/>
  <c r="DB34" i="2"/>
  <c r="DB39" i="2"/>
  <c r="DB24" i="2"/>
  <c r="DB31" i="2"/>
  <c r="DB49" i="2"/>
  <c r="DG41" i="2" l="1"/>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G25" i="2"/>
  <c r="DC25" i="2"/>
  <c r="DG9" i="2"/>
  <c r="DC9" i="2"/>
  <c r="DC53" i="2"/>
  <c r="DG53" i="2"/>
  <c r="DC21" i="2"/>
  <c r="DG21" i="2"/>
  <c r="DG8" i="2"/>
  <c r="DC8" i="2"/>
  <c r="DC38" i="2"/>
  <c r="DG38" i="2"/>
  <c r="DC32" i="2"/>
  <c r="DG32" i="2"/>
  <c r="DC35" i="2"/>
  <c r="DD35" i="2" s="1"/>
  <c r="BM35" i="2" s="1"/>
  <c r="DG35" i="2"/>
  <c r="DC40" i="2"/>
  <c r="DG40" i="2"/>
  <c r="DC6" i="2"/>
  <c r="DG6" i="2"/>
  <c r="DC33" i="2"/>
  <c r="DG34" i="2"/>
  <c r="DC34" i="2"/>
  <c r="DG46" i="2"/>
  <c r="DC46" i="2"/>
  <c r="DC43" i="2"/>
  <c r="DG43" i="2"/>
  <c r="DG13" i="2"/>
  <c r="DC13" i="2"/>
  <c r="DC49" i="2"/>
  <c r="DG49" i="2"/>
  <c r="DC15" i="2"/>
  <c r="DG15" i="2"/>
  <c r="DG36" i="2"/>
  <c r="DC36" i="2"/>
  <c r="DG17" i="2"/>
  <c r="DC17" i="2"/>
  <c r="DG14" i="2"/>
  <c r="DC14" i="2"/>
  <c r="DG10" i="2"/>
  <c r="DC10" i="2"/>
  <c r="DC31" i="2"/>
  <c r="DC39" i="2"/>
  <c r="DG39" i="2"/>
  <c r="DC51" i="2"/>
  <c r="DG51" i="2"/>
  <c r="DC16" i="2"/>
  <c r="DG16" i="2"/>
  <c r="DC48" i="2"/>
  <c r="DG48" i="2"/>
  <c r="DG44" i="2"/>
  <c r="DC44" i="2"/>
  <c r="DD44" i="2" s="1"/>
  <c r="BM44" i="2" s="1"/>
  <c r="DC23" i="2"/>
  <c r="DD19" i="2" s="1"/>
  <c r="BM19" i="2" s="1"/>
  <c r="DC24" i="2"/>
  <c r="DG26" i="2"/>
  <c r="DC26" i="2"/>
  <c r="DG20" i="2"/>
  <c r="DC20" i="2"/>
  <c r="DC29" i="2"/>
  <c r="DG29" i="2"/>
  <c r="DD38" i="2" l="1"/>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L46" i="2"/>
  <c r="AU86" i="2" s="1"/>
  <c r="DL18" i="2"/>
  <c r="AU30" i="2" s="1"/>
  <c r="DL25" i="2"/>
  <c r="DN25" i="2" s="1" a="1"/>
  <c r="DN25" i="2" s="1"/>
  <c r="DL15" i="2"/>
  <c r="DL28" i="2"/>
  <c r="DL20" i="2"/>
  <c r="AU32" i="2" s="1"/>
  <c r="DL30" i="2"/>
  <c r="AU54" i="2" s="1"/>
  <c r="DN41" i="2" a="1"/>
  <c r="DN41" i="2" s="1"/>
  <c r="DL39" i="2"/>
  <c r="DN39" i="2" s="1" a="1"/>
  <c r="DN39" i="2" s="1"/>
  <c r="DL44" i="2"/>
  <c r="AU80" i="2" s="1"/>
  <c r="DM13" i="2"/>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N38" i="2" a="1"/>
  <c r="DN38" i="2" s="1"/>
  <c r="DL48" i="2"/>
  <c r="DL21" i="2"/>
  <c r="DL50" i="2"/>
  <c r="DL40" i="2"/>
  <c r="DM46" i="2" l="1"/>
  <c r="DM20" i="2"/>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13" i="2" l="1"/>
  <c r="AV12" i="2" s="1"/>
  <c r="AU53" i="2"/>
  <c r="AV52" i="2" s="1"/>
  <c r="AU85" i="2"/>
  <c r="AV84" i="2" s="1"/>
  <c r="AU69" i="2"/>
  <c r="AV68" i="2" s="1"/>
  <c r="AU61" i="2"/>
  <c r="AV60" i="2" s="1"/>
  <c r="AU5" i="2"/>
  <c r="AV4" i="2" s="1"/>
  <c r="AU21" i="2"/>
  <c r="AV20" i="2" s="1"/>
  <c r="DF16" i="2" s="1"/>
  <c r="AU29" i="2"/>
  <c r="AV28" i="2" s="1"/>
  <c r="AU77" i="2"/>
  <c r="AV76" i="2" s="1"/>
  <c r="DF10" i="2"/>
  <c r="DF12" i="2"/>
  <c r="DF13" i="2"/>
  <c r="DF11" i="2"/>
  <c r="AU37" i="2"/>
  <c r="AV36" i="2" s="1"/>
  <c r="AU45" i="2"/>
  <c r="AV44" i="2" s="1"/>
  <c r="AU93" i="2"/>
  <c r="AV92" i="2" s="1"/>
  <c r="DF21" i="2" l="1"/>
  <c r="DF20" i="2"/>
  <c r="DF18" i="2"/>
  <c r="DF42" i="2"/>
  <c r="DF28" i="2"/>
  <c r="DF30" i="2"/>
  <c r="DF25" i="2"/>
  <c r="DF33" i="2"/>
  <c r="DF53" i="2"/>
  <c r="DF14" i="2"/>
  <c r="DF43" i="2"/>
  <c r="DF17" i="2"/>
  <c r="DF19" i="2"/>
  <c r="DF40" i="2"/>
  <c r="DF15" i="2"/>
  <c r="DF44" i="2"/>
  <c r="DF36" i="2"/>
  <c r="DF29" i="2"/>
  <c r="DF39" i="2"/>
  <c r="DF22" i="2"/>
  <c r="DF27" i="2"/>
  <c r="DF32" i="2"/>
  <c r="DF24" i="2"/>
  <c r="DF52" i="2"/>
  <c r="DF37" i="2"/>
  <c r="DF38" i="2"/>
  <c r="DF46" i="2"/>
  <c r="DF50" i="2"/>
  <c r="DF31" i="2"/>
  <c r="DF34" i="2"/>
  <c r="DF51" i="2"/>
  <c r="DF48" i="2"/>
  <c r="DF45" i="2"/>
  <c r="DF23" i="2"/>
  <c r="DF35" i="2"/>
  <c r="DF41" i="2"/>
  <c r="DF49" i="2"/>
  <c r="DF26" i="2"/>
  <c r="DF47" i="2"/>
  <c r="DG31" i="2" l="1"/>
  <c r="DG33" i="2"/>
  <c r="DG23" i="2"/>
  <c r="DG24" i="2"/>
  <c r="DG19" i="2"/>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BK61" i="2"/>
  <c r="AL41" i="2"/>
  <c r="BH65" i="2"/>
  <c r="BK63" i="2"/>
  <c r="BK69" i="2"/>
  <c r="AL39" i="2"/>
  <c r="AL32" i="2"/>
  <c r="BD66" i="2"/>
  <c r="J94" i="6" s="1"/>
  <c r="AL70" i="2"/>
  <c r="BJ67" i="2"/>
  <c r="BK66" i="2"/>
  <c r="BG66" i="2"/>
  <c r="BI61" i="2"/>
  <c r="BD68" i="2"/>
  <c r="J137" i="6" s="1"/>
  <c r="BJ68" i="2"/>
  <c r="BL68" i="2" s="1"/>
  <c r="BH69" i="2"/>
  <c r="BG65" i="2"/>
  <c r="AL57" i="2"/>
  <c r="AT57" i="2" s="1"/>
  <c r="V7" i="3" s="1"/>
  <c r="BH66" i="2"/>
  <c r="BI62" i="2"/>
  <c r="AL48" i="2"/>
  <c r="AR48" i="2" s="1"/>
  <c r="BK64" i="2"/>
  <c r="BL64" i="2" s="1"/>
  <c r="AL63" i="2"/>
  <c r="AL31" i="2"/>
  <c r="AL38" i="2"/>
  <c r="BG69" i="2"/>
  <c r="AL49" i="2"/>
  <c r="AP49" i="2" s="1"/>
  <c r="BJ62" i="2"/>
  <c r="BJ63" i="2"/>
  <c r="BD62" i="2"/>
  <c r="E219" i="6" s="1"/>
  <c r="AL86" i="2"/>
  <c r="M115" i="2" s="1"/>
  <c r="AA116" i="2" s="1"/>
  <c r="AL79" i="2"/>
  <c r="AS79" i="2" s="1"/>
  <c r="AL40" i="2"/>
  <c r="AT40" i="2" s="1"/>
  <c r="J38" i="3" s="1"/>
  <c r="BK65" i="2"/>
  <c r="AL88" i="2"/>
  <c r="AR88" i="2" s="1"/>
  <c r="BJ69" i="2"/>
  <c r="BL69" i="2" s="1"/>
  <c r="AL64" i="2"/>
  <c r="AT64" i="2" s="1"/>
  <c r="V14" i="3" s="1"/>
  <c r="AL54" i="2"/>
  <c r="AL73" i="2"/>
  <c r="BJ66" i="2"/>
  <c r="BG63" i="2"/>
  <c r="BG67" i="2"/>
  <c r="BD65" i="2"/>
  <c r="C251" i="6" s="1"/>
  <c r="BI69" i="2"/>
  <c r="AL55" i="2"/>
  <c r="T5" i="3" s="1"/>
  <c r="AL81" i="2"/>
  <c r="AP81" i="2" s="1"/>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F384" i="6" s="1"/>
  <c r="BJ65" i="2"/>
  <c r="AL71" i="2"/>
  <c r="AL30" i="2"/>
  <c r="AR30" i="2" s="1"/>
  <c r="AL62" i="2"/>
  <c r="T12" i="3" s="1"/>
  <c r="BI65" i="2"/>
  <c r="BH64" i="2"/>
  <c r="BJ61" i="2"/>
  <c r="BD64" i="2"/>
  <c r="H402" i="6" s="1"/>
  <c r="BH68" i="2"/>
  <c r="BD61" i="2"/>
  <c r="F343" i="6" s="1"/>
  <c r="AL94" i="2"/>
  <c r="AS94" i="2" s="1"/>
  <c r="AL46" i="2"/>
  <c r="AN46" i="2" s="1"/>
  <c r="AL87" i="2"/>
  <c r="AR87" i="2" s="1"/>
  <c r="AL95" i="2"/>
  <c r="AQ95" i="2" s="1"/>
  <c r="BG64" i="2"/>
  <c r="BE64" i="2" s="1"/>
  <c r="BR64" i="2" s="1"/>
  <c r="BI67" i="2"/>
  <c r="BG68" i="2"/>
  <c r="BH63" i="2"/>
  <c r="AL56" i="2"/>
  <c r="AP56" i="2" s="1"/>
  <c r="AL80" i="2"/>
  <c r="AP80" i="2" s="1"/>
  <c r="BI63" i="2"/>
  <c r="BJ64" i="2"/>
  <c r="BD67" i="2"/>
  <c r="G115" i="6" s="1"/>
  <c r="AL78" i="2"/>
  <c r="AT78" i="2" s="1"/>
  <c r="V28" i="3" s="1"/>
  <c r="BD69" i="2"/>
  <c r="I355" i="6" s="1"/>
  <c r="AL47" i="2"/>
  <c r="AL97" i="2"/>
  <c r="AL96" i="2"/>
  <c r="AL89" i="2"/>
  <c r="AO89" i="2" s="1"/>
  <c r="AL65" i="2"/>
  <c r="AM65" i="2" s="1"/>
  <c r="U15" i="3" s="1"/>
  <c r="BI66" i="2"/>
  <c r="AL33" i="2"/>
  <c r="AP33" i="2" s="1"/>
  <c r="BG62" i="2"/>
  <c r="BI64" i="2"/>
  <c r="BG61" i="2"/>
  <c r="BE61" i="2" s="1"/>
  <c r="BR61" i="2" s="1"/>
  <c r="BH67" i="2"/>
  <c r="BK67" i="2"/>
  <c r="AP57" i="2"/>
  <c r="AS57" i="2"/>
  <c r="AR57" i="2"/>
  <c r="AQ57" i="2"/>
  <c r="AO57" i="2"/>
  <c r="H28" i="3"/>
  <c r="M109" i="2"/>
  <c r="AA110" i="2" s="1"/>
  <c r="AM30" i="2"/>
  <c r="I28" i="3" s="1"/>
  <c r="D272" i="6"/>
  <c r="D434" i="6"/>
  <c r="AQ72" i="2"/>
  <c r="AM72" i="2"/>
  <c r="U22" i="3" s="1"/>
  <c r="T22" i="3"/>
  <c r="C263" i="6"/>
  <c r="G95" i="6"/>
  <c r="C319" i="6"/>
  <c r="C290" i="6"/>
  <c r="C56" i="6"/>
  <c r="C389" i="6"/>
  <c r="G119" i="6"/>
  <c r="C233" i="6"/>
  <c r="C128" i="6"/>
  <c r="C346" i="6"/>
  <c r="C359" i="6"/>
  <c r="H345" i="6"/>
  <c r="H339" i="6"/>
  <c r="H210" i="6"/>
  <c r="G34" i="6"/>
  <c r="H349" i="6"/>
  <c r="G108" i="6"/>
  <c r="C19" i="6"/>
  <c r="C317" i="6"/>
  <c r="H393" i="6"/>
  <c r="C459" i="6"/>
  <c r="C376" i="6"/>
  <c r="C11" i="6"/>
  <c r="H173" i="6"/>
  <c r="C467" i="6"/>
  <c r="G2" i="6"/>
  <c r="G45" i="6"/>
  <c r="H186" i="6"/>
  <c r="C368" i="6"/>
  <c r="M112" i="2"/>
  <c r="AA111" i="2" s="1"/>
  <c r="AT62" i="2"/>
  <c r="V12" i="3" s="1"/>
  <c r="AS71" i="2"/>
  <c r="AR71" i="2"/>
  <c r="AQ71" i="2"/>
  <c r="AO71" i="2"/>
  <c r="AT71" i="2"/>
  <c r="V21" i="3" s="1"/>
  <c r="AP71" i="2"/>
  <c r="T21" i="3"/>
  <c r="AM71" i="2"/>
  <c r="U21" i="3" s="1"/>
  <c r="AN71" i="2"/>
  <c r="N106" i="2"/>
  <c r="AF105" i="2" s="1"/>
  <c r="AQ56" i="2"/>
  <c r="F34" i="6"/>
  <c r="F269" i="6"/>
  <c r="F361" i="6"/>
  <c r="AS80" i="2"/>
  <c r="AM80" i="2"/>
  <c r="U30" i="3" s="1"/>
  <c r="AT80" i="2"/>
  <c r="V30" i="3" s="1"/>
  <c r="AT38" i="2"/>
  <c r="J36" i="3" s="1"/>
  <c r="AM38" i="2"/>
  <c r="I36" i="3" s="1"/>
  <c r="AP38" i="2"/>
  <c r="M102" i="2"/>
  <c r="AA103" i="2" s="1"/>
  <c r="AQ38" i="2"/>
  <c r="AR38" i="2"/>
  <c r="AN38" i="2"/>
  <c r="AS38" i="2"/>
  <c r="AO38" i="2"/>
  <c r="H36" i="3"/>
  <c r="I375" i="6"/>
  <c r="I294" i="6"/>
  <c r="I234" i="6"/>
  <c r="AR49" i="2"/>
  <c r="AQ49" i="2"/>
  <c r="AM49" i="2"/>
  <c r="I47" i="3" s="1"/>
  <c r="H47" i="3"/>
  <c r="AO49" i="2"/>
  <c r="AN49" i="2"/>
  <c r="AS49" i="2"/>
  <c r="AT49" i="2"/>
  <c r="J47" i="3" s="1"/>
  <c r="BE69" i="2"/>
  <c r="BR69" i="2" s="1"/>
  <c r="BL61" i="2"/>
  <c r="AR65" i="2"/>
  <c r="AT65" i="2"/>
  <c r="V15" i="3" s="1"/>
  <c r="T15" i="3"/>
  <c r="F10" i="6" l="1"/>
  <c r="E46" i="6"/>
  <c r="AT81" i="2"/>
  <c r="V31" i="3" s="1"/>
  <c r="D292" i="6"/>
  <c r="G294" i="6"/>
  <c r="G82" i="6"/>
  <c r="I241" i="6"/>
  <c r="AM55" i="2"/>
  <c r="U5" i="3" s="1"/>
  <c r="AN55" i="2"/>
  <c r="D64" i="6"/>
  <c r="F147" i="6"/>
  <c r="D270" i="6"/>
  <c r="I27" i="6"/>
  <c r="N116" i="2"/>
  <c r="AF114" i="2" s="1"/>
  <c r="C159" i="4" s="1"/>
  <c r="I244" i="6"/>
  <c r="AO30" i="2"/>
  <c r="J481" i="6"/>
  <c r="I411" i="6"/>
  <c r="D294" i="6"/>
  <c r="F35" i="6"/>
  <c r="D153" i="6"/>
  <c r="F32" i="6"/>
  <c r="G134" i="6"/>
  <c r="D483" i="6"/>
  <c r="M114" i="2"/>
  <c r="AA115" i="2" s="1"/>
  <c r="C144" i="4" s="1"/>
  <c r="AO80" i="2"/>
  <c r="G105" i="6"/>
  <c r="C261" i="6"/>
  <c r="G136" i="6"/>
  <c r="E22" i="6"/>
  <c r="I172" i="6"/>
  <c r="AQ80" i="2"/>
  <c r="AO56" i="2"/>
  <c r="C284" i="6"/>
  <c r="C87" i="6"/>
  <c r="G51" i="6"/>
  <c r="J335" i="6"/>
  <c r="I123" i="6"/>
  <c r="I47" i="6"/>
  <c r="H266" i="6"/>
  <c r="AM48" i="2"/>
  <c r="I46" i="3" s="1"/>
  <c r="H113" i="6"/>
  <c r="I398" i="6"/>
  <c r="AQ78" i="2"/>
  <c r="D71" i="6"/>
  <c r="AN80" i="2"/>
  <c r="I460" i="6"/>
  <c r="G4" i="6"/>
  <c r="C275" i="6"/>
  <c r="AS56" i="2"/>
  <c r="I142" i="6"/>
  <c r="AR80" i="2"/>
  <c r="W30" i="3" s="1"/>
  <c r="H340" i="6"/>
  <c r="G35" i="6"/>
  <c r="H49" i="6"/>
  <c r="D49" i="6"/>
  <c r="E185" i="6"/>
  <c r="H33" i="6"/>
  <c r="I117" i="6"/>
  <c r="I126" i="6"/>
  <c r="I338" i="6"/>
  <c r="I393" i="6"/>
  <c r="F154" i="6"/>
  <c r="F310" i="6"/>
  <c r="I60" i="6"/>
  <c r="I414" i="6"/>
  <c r="F244" i="6"/>
  <c r="D32" i="6"/>
  <c r="H409" i="6"/>
  <c r="I189" i="6"/>
  <c r="I252" i="6"/>
  <c r="F195" i="6"/>
  <c r="F337" i="6"/>
  <c r="J353" i="6"/>
  <c r="D413" i="6"/>
  <c r="F292" i="6"/>
  <c r="F196" i="6"/>
  <c r="G158" i="6"/>
  <c r="E223" i="6"/>
  <c r="H192" i="6"/>
  <c r="F315" i="6"/>
  <c r="G23" i="6"/>
  <c r="C481" i="6"/>
  <c r="C446" i="6"/>
  <c r="G298" i="6"/>
  <c r="G12" i="6"/>
  <c r="D170" i="6"/>
  <c r="J494" i="6"/>
  <c r="I113" i="6"/>
  <c r="F267" i="6"/>
  <c r="H260" i="6"/>
  <c r="G287" i="6"/>
  <c r="C323" i="6"/>
  <c r="G92" i="6"/>
  <c r="G54" i="6"/>
  <c r="G24" i="6"/>
  <c r="G15" i="6"/>
  <c r="J418" i="6"/>
  <c r="D92" i="6"/>
  <c r="I148" i="6"/>
  <c r="I404" i="6"/>
  <c r="F331" i="6"/>
  <c r="H439" i="6"/>
  <c r="I104" i="6"/>
  <c r="C441" i="6"/>
  <c r="C200" i="6"/>
  <c r="C114" i="6"/>
  <c r="C234" i="6"/>
  <c r="C175" i="6"/>
  <c r="E282" i="6"/>
  <c r="E248" i="6"/>
  <c r="J409" i="6"/>
  <c r="D239" i="6"/>
  <c r="G116" i="6"/>
  <c r="E214" i="6"/>
  <c r="I42" i="6"/>
  <c r="I70" i="6"/>
  <c r="F237" i="6"/>
  <c r="J471" i="6"/>
  <c r="I16" i="6"/>
  <c r="I301" i="6"/>
  <c r="H232" i="6"/>
  <c r="I18" i="6"/>
  <c r="I307" i="6"/>
  <c r="I154" i="6"/>
  <c r="F8" i="6"/>
  <c r="I131" i="6"/>
  <c r="H302" i="6"/>
  <c r="C386" i="6"/>
  <c r="G77" i="6"/>
  <c r="H337" i="6"/>
  <c r="D121" i="6"/>
  <c r="G139" i="6"/>
  <c r="AT54" i="2"/>
  <c r="V4" i="3" s="1"/>
  <c r="AM54" i="2"/>
  <c r="U4" i="3" s="1"/>
  <c r="AR54" i="2"/>
  <c r="M110" i="2"/>
  <c r="AA109" i="2" s="1"/>
  <c r="C138" i="4" s="1"/>
  <c r="AO54" i="2"/>
  <c r="H489" i="6"/>
  <c r="E254" i="6"/>
  <c r="J469" i="6"/>
  <c r="I40" i="6"/>
  <c r="J200" i="6"/>
  <c r="J71" i="6"/>
  <c r="J348" i="6"/>
  <c r="C315" i="6"/>
  <c r="J35" i="6"/>
  <c r="I36" i="6"/>
  <c r="J264" i="6"/>
  <c r="E183" i="6"/>
  <c r="E222" i="6"/>
  <c r="J191" i="6"/>
  <c r="G49" i="6"/>
  <c r="I54" i="6"/>
  <c r="J360" i="6"/>
  <c r="E21" i="6"/>
  <c r="E190" i="6"/>
  <c r="E23" i="6"/>
  <c r="I95" i="6"/>
  <c r="E204" i="6"/>
  <c r="I313" i="6"/>
  <c r="I299" i="6"/>
  <c r="J129" i="6"/>
  <c r="E29" i="6"/>
  <c r="I245" i="6"/>
  <c r="C433" i="6"/>
  <c r="I224" i="6"/>
  <c r="G47" i="6"/>
  <c r="E218" i="6"/>
  <c r="J375" i="6"/>
  <c r="I465" i="6"/>
  <c r="I121" i="6"/>
  <c r="E234" i="6"/>
  <c r="J314" i="6"/>
  <c r="J108" i="6"/>
  <c r="I145" i="6"/>
  <c r="D429" i="6"/>
  <c r="D119" i="6"/>
  <c r="I265" i="6"/>
  <c r="J395" i="6"/>
  <c r="E167" i="6"/>
  <c r="J339" i="6"/>
  <c r="J406" i="6"/>
  <c r="C377" i="6"/>
  <c r="E258" i="6"/>
  <c r="J144" i="6"/>
  <c r="J434" i="6"/>
  <c r="I476" i="6"/>
  <c r="C289" i="6"/>
  <c r="J208" i="6"/>
  <c r="I422" i="6"/>
  <c r="E207" i="6"/>
  <c r="J399" i="6"/>
  <c r="I344" i="6"/>
  <c r="J235" i="6"/>
  <c r="I67" i="6"/>
  <c r="I275" i="6"/>
  <c r="J259" i="6"/>
  <c r="G114" i="6"/>
  <c r="J358" i="6"/>
  <c r="I174" i="6"/>
  <c r="J269" i="6"/>
  <c r="J223" i="6"/>
  <c r="G56" i="6"/>
  <c r="I116" i="6"/>
  <c r="E175" i="6"/>
  <c r="G68" i="6"/>
  <c r="J9" i="6"/>
  <c r="J286" i="6"/>
  <c r="J115" i="6"/>
  <c r="J324" i="6"/>
  <c r="I349" i="6"/>
  <c r="I281" i="6"/>
  <c r="J276" i="6"/>
  <c r="G398" i="6"/>
  <c r="J312" i="6"/>
  <c r="I270" i="6"/>
  <c r="E169" i="6"/>
  <c r="G132" i="6"/>
  <c r="J280" i="6"/>
  <c r="J156" i="6"/>
  <c r="I150" i="6"/>
  <c r="E20" i="6"/>
  <c r="G55" i="6"/>
  <c r="I215" i="6"/>
  <c r="J475" i="6"/>
  <c r="E19" i="6"/>
  <c r="E213" i="6"/>
  <c r="I229" i="6"/>
  <c r="J491" i="6"/>
  <c r="E231" i="6"/>
  <c r="J219" i="6"/>
  <c r="J384" i="6"/>
  <c r="I381" i="6"/>
  <c r="E211" i="6"/>
  <c r="C205" i="6"/>
  <c r="I181" i="6"/>
  <c r="J162" i="6"/>
  <c r="I236" i="6"/>
  <c r="E203" i="6"/>
  <c r="J66" i="6"/>
  <c r="G38" i="6"/>
  <c r="E16" i="6"/>
  <c r="J350" i="6"/>
  <c r="G117" i="6"/>
  <c r="J364" i="6"/>
  <c r="G84" i="6"/>
  <c r="J60" i="6"/>
  <c r="J328" i="6"/>
  <c r="I435" i="6"/>
  <c r="I421" i="6"/>
  <c r="D379" i="6"/>
  <c r="C372" i="6"/>
  <c r="J319" i="6"/>
  <c r="J244" i="6"/>
  <c r="I209" i="6"/>
  <c r="I256" i="6"/>
  <c r="J103" i="6"/>
  <c r="I89" i="6"/>
  <c r="I385" i="6"/>
  <c r="E188" i="6"/>
  <c r="I390" i="6"/>
  <c r="J298" i="6"/>
  <c r="G297" i="6"/>
  <c r="E4" i="6"/>
  <c r="D134" i="6"/>
  <c r="J449" i="6"/>
  <c r="C316" i="6"/>
  <c r="G295" i="6"/>
  <c r="I109" i="6"/>
  <c r="G32" i="6"/>
  <c r="G52" i="6"/>
  <c r="I457" i="6"/>
  <c r="J464" i="6"/>
  <c r="J30" i="6"/>
  <c r="G111" i="6"/>
  <c r="I76" i="6"/>
  <c r="J251" i="6"/>
  <c r="J404" i="6"/>
  <c r="G93" i="6"/>
  <c r="J307" i="6"/>
  <c r="I340" i="6"/>
  <c r="I456" i="6"/>
  <c r="G148" i="6"/>
  <c r="J292" i="6"/>
  <c r="J44" i="6"/>
  <c r="I81" i="6"/>
  <c r="J75" i="6"/>
  <c r="E48" i="6"/>
  <c r="J46" i="6"/>
  <c r="I260" i="6"/>
  <c r="G342" i="6"/>
  <c r="J135" i="6"/>
  <c r="J214" i="6"/>
  <c r="J439" i="6"/>
  <c r="E3" i="6"/>
  <c r="G59" i="6"/>
  <c r="E216" i="6"/>
  <c r="J228" i="6"/>
  <c r="I155" i="6"/>
  <c r="D338" i="6"/>
  <c r="J495" i="6"/>
  <c r="I325" i="6"/>
  <c r="I477" i="6"/>
  <c r="J24" i="6"/>
  <c r="J230" i="6"/>
  <c r="J426" i="6"/>
  <c r="I376" i="6"/>
  <c r="G65" i="6"/>
  <c r="J461" i="6"/>
  <c r="C85" i="6"/>
  <c r="I61" i="6"/>
  <c r="I391" i="6"/>
  <c r="C374" i="6"/>
  <c r="J240" i="6"/>
  <c r="I192" i="6"/>
  <c r="I140" i="6"/>
  <c r="J266" i="6"/>
  <c r="I220" i="6"/>
  <c r="I441" i="6"/>
  <c r="J120" i="6"/>
  <c r="D98" i="6"/>
  <c r="J414" i="6"/>
  <c r="G96" i="6"/>
  <c r="G392" i="6"/>
  <c r="J274" i="6"/>
  <c r="I415" i="6"/>
  <c r="J370" i="6"/>
  <c r="E268" i="6"/>
  <c r="E170" i="6"/>
  <c r="G63" i="6"/>
  <c r="E182" i="6"/>
  <c r="J303" i="6"/>
  <c r="I308" i="6"/>
  <c r="I125" i="6"/>
  <c r="E8" i="6"/>
  <c r="J180" i="6"/>
  <c r="E14" i="6"/>
  <c r="J485" i="6"/>
  <c r="J444" i="6"/>
  <c r="J88" i="6"/>
  <c r="J451" i="6"/>
  <c r="J195" i="6"/>
  <c r="I25" i="6"/>
  <c r="I470" i="6"/>
  <c r="J160" i="6"/>
  <c r="J420" i="6"/>
  <c r="E5" i="6"/>
  <c r="J154" i="6"/>
  <c r="D323" i="6"/>
  <c r="E11" i="6"/>
  <c r="E172" i="6"/>
  <c r="I293" i="6"/>
  <c r="J173" i="6"/>
  <c r="E210" i="6"/>
  <c r="E243" i="6"/>
  <c r="I304" i="6"/>
  <c r="J430" i="6"/>
  <c r="I359" i="6"/>
  <c r="G62" i="6"/>
  <c r="J131" i="6"/>
  <c r="J380" i="6"/>
  <c r="I196" i="6"/>
  <c r="J39" i="6"/>
  <c r="C383" i="6"/>
  <c r="G291" i="6"/>
  <c r="G288" i="6"/>
  <c r="I201" i="6"/>
  <c r="I365" i="6"/>
  <c r="G87" i="6"/>
  <c r="E6" i="6"/>
  <c r="D408" i="6"/>
  <c r="E26" i="6"/>
  <c r="C427" i="6"/>
  <c r="I366" i="6"/>
  <c r="E179" i="6"/>
  <c r="I10" i="6"/>
  <c r="G300" i="6"/>
  <c r="J146" i="6"/>
  <c r="C371" i="6"/>
  <c r="I100" i="6"/>
  <c r="C57" i="6"/>
  <c r="G306" i="6"/>
  <c r="I136" i="6"/>
  <c r="J99" i="6"/>
  <c r="C232" i="6"/>
  <c r="E2" i="6"/>
  <c r="J82" i="6"/>
  <c r="I486" i="6"/>
  <c r="C112" i="6"/>
  <c r="J166" i="6"/>
  <c r="G50" i="6"/>
  <c r="J53" i="6"/>
  <c r="J455" i="6"/>
  <c r="I445" i="6"/>
  <c r="J416" i="6"/>
  <c r="E27" i="6"/>
  <c r="G123" i="6"/>
  <c r="J124" i="6"/>
  <c r="J80" i="6"/>
  <c r="G74" i="6"/>
  <c r="I334" i="6"/>
  <c r="G138" i="6"/>
  <c r="I400" i="6"/>
  <c r="E239" i="6"/>
  <c r="J487" i="6"/>
  <c r="J186" i="6"/>
  <c r="I320" i="6"/>
  <c r="G102" i="6"/>
  <c r="I45" i="6"/>
  <c r="I354" i="6"/>
  <c r="G336" i="6"/>
  <c r="D463" i="6"/>
  <c r="J249" i="6"/>
  <c r="J149" i="6"/>
  <c r="J389" i="6"/>
  <c r="E237" i="6"/>
  <c r="I250" i="6"/>
  <c r="G91" i="6"/>
  <c r="I450" i="6"/>
  <c r="I130" i="6"/>
  <c r="D443" i="6"/>
  <c r="D352" i="6"/>
  <c r="I405" i="6"/>
  <c r="I335" i="6"/>
  <c r="AP54" i="2"/>
  <c r="AS48" i="2"/>
  <c r="K46" i="3" s="1"/>
  <c r="AQ48" i="2"/>
  <c r="AP48" i="2"/>
  <c r="AO48" i="2"/>
  <c r="AT48" i="2"/>
  <c r="J46" i="3" s="1"/>
  <c r="H46" i="3"/>
  <c r="AN48" i="2"/>
  <c r="J139" i="6"/>
  <c r="J255" i="6"/>
  <c r="H105" i="6"/>
  <c r="H459" i="6"/>
  <c r="I462" i="6"/>
  <c r="I133" i="6"/>
  <c r="I377" i="6"/>
  <c r="I337" i="6"/>
  <c r="I342" i="6"/>
  <c r="I384" i="6"/>
  <c r="I111" i="6"/>
  <c r="I255" i="6"/>
  <c r="I163" i="6"/>
  <c r="I11" i="6"/>
  <c r="I364" i="6"/>
  <c r="I35" i="6"/>
  <c r="I62" i="6"/>
  <c r="I225" i="6"/>
  <c r="I306" i="6"/>
  <c r="I317" i="6"/>
  <c r="I144" i="6"/>
  <c r="I302" i="6"/>
  <c r="I6" i="6"/>
  <c r="I287" i="6"/>
  <c r="I397" i="6"/>
  <c r="I55" i="6"/>
  <c r="I205" i="6"/>
  <c r="I119" i="6"/>
  <c r="I429" i="6"/>
  <c r="I243" i="6"/>
  <c r="I316" i="6"/>
  <c r="I466" i="6"/>
  <c r="I88" i="6"/>
  <c r="I177" i="6"/>
  <c r="I367" i="6"/>
  <c r="I4" i="6"/>
  <c r="I179" i="6"/>
  <c r="I238" i="6"/>
  <c r="I158" i="6"/>
  <c r="I32" i="6"/>
  <c r="I437" i="6"/>
  <c r="I28" i="6"/>
  <c r="I75" i="6"/>
  <c r="I464" i="6"/>
  <c r="I160" i="6"/>
  <c r="I24" i="6"/>
  <c r="I200" i="6"/>
  <c r="I264" i="6"/>
  <c r="I85" i="6"/>
  <c r="I257" i="6"/>
  <c r="I19" i="6"/>
  <c r="I346" i="6"/>
  <c r="I171" i="6"/>
  <c r="I96" i="6"/>
  <c r="I114" i="6"/>
  <c r="I330" i="6"/>
  <c r="I237" i="6"/>
  <c r="I288" i="6"/>
  <c r="I191" i="6"/>
  <c r="I423" i="6"/>
  <c r="I253" i="6"/>
  <c r="I239" i="6"/>
  <c r="I277" i="6"/>
  <c r="I218" i="6"/>
  <c r="I351" i="6"/>
  <c r="I193" i="6"/>
  <c r="I122" i="6"/>
  <c r="I73" i="6"/>
  <c r="I50" i="6"/>
  <c r="I290" i="6"/>
  <c r="I132" i="6"/>
  <c r="I352" i="6"/>
  <c r="I102" i="6"/>
  <c r="I399" i="6"/>
  <c r="I167" i="6"/>
  <c r="I20" i="6"/>
  <c r="I319" i="6"/>
  <c r="I312" i="6"/>
  <c r="I283" i="6"/>
  <c r="I328" i="6"/>
  <c r="I5" i="6"/>
  <c r="I44" i="6"/>
  <c r="I345" i="6"/>
  <c r="I197" i="6"/>
  <c r="I52" i="6"/>
  <c r="I194" i="6"/>
  <c r="I152" i="6"/>
  <c r="I278" i="6"/>
  <c r="I409" i="6"/>
  <c r="I478" i="6"/>
  <c r="I249" i="6"/>
  <c r="I39" i="6"/>
  <c r="I300" i="6"/>
  <c r="I9" i="6"/>
  <c r="I141" i="6"/>
  <c r="I452" i="6"/>
  <c r="I80" i="6"/>
  <c r="I216" i="6"/>
  <c r="I246" i="6"/>
  <c r="I14" i="6"/>
  <c r="I103" i="6"/>
  <c r="I66" i="6"/>
  <c r="I3" i="6"/>
  <c r="I106" i="6"/>
  <c r="I98" i="6"/>
  <c r="I207" i="6"/>
  <c r="I327" i="6"/>
  <c r="I127" i="6"/>
  <c r="I219" i="6"/>
  <c r="I271" i="6"/>
  <c r="I84" i="6"/>
  <c r="I324" i="6"/>
  <c r="I135" i="6"/>
  <c r="I118" i="6"/>
  <c r="I323" i="6"/>
  <c r="I353" i="6"/>
  <c r="I417" i="6"/>
  <c r="I280" i="6"/>
  <c r="I447" i="6"/>
  <c r="I105" i="6"/>
  <c r="I267" i="6"/>
  <c r="I261" i="6"/>
  <c r="I235" i="6"/>
  <c r="I341" i="6"/>
  <c r="I37" i="6"/>
  <c r="I30" i="6"/>
  <c r="I137" i="6"/>
  <c r="I77" i="6"/>
  <c r="I217" i="6"/>
  <c r="I17" i="6"/>
  <c r="I339" i="6"/>
  <c r="I343" i="6"/>
  <c r="I180" i="6"/>
  <c r="I198" i="6"/>
  <c r="I296" i="6"/>
  <c r="I383" i="6"/>
  <c r="I204" i="6"/>
  <c r="I112" i="6"/>
  <c r="I92" i="6"/>
  <c r="I469" i="6"/>
  <c r="I223" i="6"/>
  <c r="I206" i="6"/>
  <c r="I475" i="6"/>
  <c r="I436" i="6"/>
  <c r="I157" i="6"/>
  <c r="I182" i="6"/>
  <c r="I348" i="6"/>
  <c r="I49" i="6"/>
  <c r="I212" i="6"/>
  <c r="I372" i="6"/>
  <c r="I87" i="6"/>
  <c r="I374" i="6"/>
  <c r="I434" i="6"/>
  <c r="I418" i="6"/>
  <c r="I379" i="6"/>
  <c r="I195" i="6"/>
  <c r="I64" i="6"/>
  <c r="I420" i="6"/>
  <c r="I90" i="6"/>
  <c r="I443" i="6"/>
  <c r="I26" i="6"/>
  <c r="I138" i="6"/>
  <c r="I68" i="6"/>
  <c r="I214" i="6"/>
  <c r="I99" i="6"/>
  <c r="I305" i="6"/>
  <c r="I2" i="6"/>
  <c r="I228" i="6"/>
  <c r="I22" i="6"/>
  <c r="I7" i="6"/>
  <c r="I231" i="6"/>
  <c r="I408" i="6"/>
  <c r="I203" i="6"/>
  <c r="I386" i="6"/>
  <c r="I129" i="6"/>
  <c r="I120" i="6"/>
  <c r="I430" i="6"/>
  <c r="I134" i="6"/>
  <c r="I53" i="6"/>
  <c r="I254" i="6"/>
  <c r="I361" i="6"/>
  <c r="I226" i="6"/>
  <c r="I124" i="6"/>
  <c r="I63" i="6"/>
  <c r="I309" i="6"/>
  <c r="I259" i="6"/>
  <c r="I446" i="6"/>
  <c r="I21" i="6"/>
  <c r="I115" i="6"/>
  <c r="I272" i="6"/>
  <c r="I485" i="6"/>
  <c r="I428" i="6"/>
  <c r="I69" i="6"/>
  <c r="I33" i="6"/>
  <c r="I34" i="6"/>
  <c r="I78" i="6"/>
  <c r="I380" i="6"/>
  <c r="I412" i="6"/>
  <c r="I149" i="6"/>
  <c r="I247" i="6"/>
  <c r="I488" i="6"/>
  <c r="I188" i="6"/>
  <c r="I492" i="6"/>
  <c r="I175" i="6"/>
  <c r="I139" i="6"/>
  <c r="I295" i="6"/>
  <c r="I91" i="6"/>
  <c r="I463" i="6"/>
  <c r="I222" i="6"/>
  <c r="I56" i="6"/>
  <c r="I173" i="6"/>
  <c r="I86" i="6"/>
  <c r="I240" i="6"/>
  <c r="I289" i="6"/>
  <c r="I326" i="6"/>
  <c r="I170" i="6"/>
  <c r="I176" i="6"/>
  <c r="I151" i="6"/>
  <c r="I183" i="6"/>
  <c r="I233" i="6"/>
  <c r="I258" i="6"/>
  <c r="I262" i="6"/>
  <c r="I315" i="6"/>
  <c r="I472" i="6"/>
  <c r="I298" i="6"/>
  <c r="I83" i="6"/>
  <c r="I394" i="6"/>
  <c r="I358" i="6"/>
  <c r="I211" i="6"/>
  <c r="I444" i="6"/>
  <c r="I48" i="6"/>
  <c r="I453" i="6"/>
  <c r="I378" i="6"/>
  <c r="I387" i="6"/>
  <c r="I15" i="6"/>
  <c r="I12" i="6"/>
  <c r="I274" i="6"/>
  <c r="I93" i="6"/>
  <c r="I382" i="6"/>
  <c r="I333" i="6"/>
  <c r="I336" i="6"/>
  <c r="I74" i="6"/>
  <c r="I389" i="6"/>
  <c r="I101" i="6"/>
  <c r="I432" i="6"/>
  <c r="I71" i="6"/>
  <c r="I232" i="6"/>
  <c r="I242" i="6"/>
  <c r="I303" i="6"/>
  <c r="I401" i="6"/>
  <c r="I213" i="6"/>
  <c r="AQ39" i="2"/>
  <c r="AS39" i="2"/>
  <c r="AP39" i="2"/>
  <c r="H37" i="3"/>
  <c r="M106" i="2"/>
  <c r="AA105" i="2" s="1"/>
  <c r="C168" i="4" s="1"/>
  <c r="AN39" i="2"/>
  <c r="AM39" i="2"/>
  <c r="I37" i="3" s="1"/>
  <c r="AO39" i="2"/>
  <c r="AR39" i="2"/>
  <c r="AT39" i="2"/>
  <c r="J37" i="3" s="1"/>
  <c r="I97" i="6"/>
  <c r="I94" i="6"/>
  <c r="I433" i="6"/>
  <c r="I458" i="6"/>
  <c r="C318" i="6"/>
  <c r="I440" i="6"/>
  <c r="E12" i="6"/>
  <c r="H162" i="6"/>
  <c r="H357" i="6"/>
  <c r="I269" i="6"/>
  <c r="I318" i="6"/>
  <c r="I402" i="6"/>
  <c r="I473" i="6"/>
  <c r="I362" i="6"/>
  <c r="I187" i="6"/>
  <c r="I431" i="6"/>
  <c r="AN54" i="2"/>
  <c r="I210" i="6"/>
  <c r="I221" i="6"/>
  <c r="I482" i="6"/>
  <c r="I41" i="6"/>
  <c r="I38" i="6"/>
  <c r="J202" i="6"/>
  <c r="E194" i="6"/>
  <c r="C177" i="6"/>
  <c r="H495" i="6"/>
  <c r="H485" i="6"/>
  <c r="I108" i="6"/>
  <c r="I392" i="6"/>
  <c r="H57" i="6"/>
  <c r="H460" i="6"/>
  <c r="H224" i="6"/>
  <c r="I8" i="6"/>
  <c r="I190" i="6"/>
  <c r="I184" i="6"/>
  <c r="I427" i="6"/>
  <c r="I58" i="6"/>
  <c r="AM89" i="2"/>
  <c r="U39" i="3" s="1"/>
  <c r="J333" i="6"/>
  <c r="D302" i="6"/>
  <c r="H85" i="6"/>
  <c r="H124" i="6"/>
  <c r="H247" i="6"/>
  <c r="H496" i="6"/>
  <c r="I268" i="6"/>
  <c r="I169" i="6"/>
  <c r="I291" i="6"/>
  <c r="I483" i="6"/>
  <c r="I371" i="6"/>
  <c r="I329" i="6"/>
  <c r="C327" i="6"/>
  <c r="D70" i="6"/>
  <c r="H46" i="6"/>
  <c r="I439" i="6"/>
  <c r="I208" i="6"/>
  <c r="I373" i="6"/>
  <c r="I65" i="6"/>
  <c r="J17" i="6"/>
  <c r="J343" i="6"/>
  <c r="D394" i="6"/>
  <c r="D488" i="6"/>
  <c r="H102" i="6"/>
  <c r="H451" i="6"/>
  <c r="AS89" i="2"/>
  <c r="T39" i="3"/>
  <c r="AR89" i="2"/>
  <c r="AT89" i="2"/>
  <c r="V39" i="3" s="1"/>
  <c r="AO31" i="2"/>
  <c r="AQ31" i="2"/>
  <c r="AT31" i="2"/>
  <c r="J29" i="3" s="1"/>
  <c r="AP31" i="2"/>
  <c r="M116" i="2"/>
  <c r="AA114" i="2" s="1"/>
  <c r="D114" i="2" s="1"/>
  <c r="AR31" i="2"/>
  <c r="AM31" i="2"/>
  <c r="I29" i="3" s="1"/>
  <c r="AS31" i="2"/>
  <c r="K29" i="3" s="1"/>
  <c r="AN31" i="2"/>
  <c r="AR96" i="2"/>
  <c r="AQ96" i="2"/>
  <c r="AM96" i="2"/>
  <c r="U46" i="3" s="1"/>
  <c r="AO96" i="2"/>
  <c r="T46" i="3"/>
  <c r="AN96" i="2"/>
  <c r="AP96" i="2"/>
  <c r="AS96" i="2"/>
  <c r="AT96" i="2"/>
  <c r="V46" i="3" s="1"/>
  <c r="AO63" i="2"/>
  <c r="T13" i="3"/>
  <c r="N114" i="2"/>
  <c r="AF115" i="2" s="1"/>
  <c r="B178" i="4" s="1"/>
  <c r="AR63" i="2"/>
  <c r="W13" i="3" s="1"/>
  <c r="AM63" i="2"/>
  <c r="U13" i="3" s="1"/>
  <c r="AQ63" i="2"/>
  <c r="AP63" i="2"/>
  <c r="H227" i="6"/>
  <c r="BL65" i="2"/>
  <c r="I321" i="6"/>
  <c r="AS54" i="2"/>
  <c r="I185" i="6"/>
  <c r="J110" i="6"/>
  <c r="H29" i="3"/>
  <c r="H88" i="6"/>
  <c r="I168" i="6"/>
  <c r="I331" i="6"/>
  <c r="AQ89" i="2"/>
  <c r="I31" i="6"/>
  <c r="I410" i="6"/>
  <c r="J282" i="6"/>
  <c r="E34" i="6"/>
  <c r="I455" i="6"/>
  <c r="AN89" i="2"/>
  <c r="I178" i="6"/>
  <c r="AP89" i="2"/>
  <c r="C321" i="6"/>
  <c r="I161" i="6"/>
  <c r="I72" i="6"/>
  <c r="H487" i="6"/>
  <c r="H80" i="6"/>
  <c r="H153" i="6"/>
  <c r="H243" i="6"/>
  <c r="E240" i="6"/>
  <c r="H87" i="6"/>
  <c r="F54" i="6"/>
  <c r="H9" i="6"/>
  <c r="H230" i="6"/>
  <c r="H484" i="6"/>
  <c r="H39" i="6"/>
  <c r="F52" i="6"/>
  <c r="H201" i="6"/>
  <c r="H378" i="6"/>
  <c r="H251" i="6"/>
  <c r="H150" i="6"/>
  <c r="H98" i="6"/>
  <c r="H334" i="6"/>
  <c r="H180" i="6"/>
  <c r="H197" i="6"/>
  <c r="H286" i="6"/>
  <c r="H109" i="6"/>
  <c r="D449" i="6"/>
  <c r="H156" i="6"/>
  <c r="E274" i="6"/>
  <c r="E249" i="6"/>
  <c r="H160" i="6"/>
  <c r="H6" i="6"/>
  <c r="H38" i="6"/>
  <c r="H34" i="6"/>
  <c r="H270" i="6"/>
  <c r="H333" i="6"/>
  <c r="H72" i="6"/>
  <c r="H176" i="6"/>
  <c r="H407" i="6"/>
  <c r="H456" i="6"/>
  <c r="H444" i="6"/>
  <c r="H165" i="6"/>
  <c r="H131" i="6"/>
  <c r="H20" i="6"/>
  <c r="F174" i="6"/>
  <c r="H11" i="6"/>
  <c r="H276" i="6"/>
  <c r="H82" i="6"/>
  <c r="H78" i="6"/>
  <c r="H13" i="6"/>
  <c r="H18" i="6"/>
  <c r="F171" i="6"/>
  <c r="H193" i="6"/>
  <c r="H288" i="6"/>
  <c r="H219" i="6"/>
  <c r="H96" i="6"/>
  <c r="H421" i="6"/>
  <c r="H222" i="6"/>
  <c r="H97" i="6"/>
  <c r="H379" i="6"/>
  <c r="H179" i="6"/>
  <c r="H196" i="6"/>
  <c r="H198" i="6"/>
  <c r="H60" i="6"/>
  <c r="H41" i="6"/>
  <c r="H149" i="6"/>
  <c r="H157" i="6"/>
  <c r="H381" i="6"/>
  <c r="H269" i="6"/>
  <c r="H128" i="6"/>
  <c r="H8" i="6"/>
  <c r="H104" i="6"/>
  <c r="F173" i="6"/>
  <c r="H74" i="6"/>
  <c r="H482" i="6"/>
  <c r="H351" i="6"/>
  <c r="H25" i="6"/>
  <c r="H77" i="6"/>
  <c r="H208" i="6"/>
  <c r="H202" i="6"/>
  <c r="H412" i="6"/>
  <c r="H220" i="6"/>
  <c r="H154" i="6"/>
  <c r="F309" i="6"/>
  <c r="H199" i="6"/>
  <c r="E246" i="6"/>
  <c r="H5" i="6"/>
  <c r="H424" i="6"/>
  <c r="H278" i="6"/>
  <c r="H324" i="6"/>
  <c r="F307" i="6"/>
  <c r="H242" i="6"/>
  <c r="H75" i="6"/>
  <c r="F169" i="6"/>
  <c r="H361" i="6"/>
  <c r="H56" i="6"/>
  <c r="H423" i="6"/>
  <c r="H123" i="6"/>
  <c r="H21" i="6"/>
  <c r="H126" i="6"/>
  <c r="H164" i="6"/>
  <c r="H177" i="6"/>
  <c r="H159" i="6"/>
  <c r="H101" i="6"/>
  <c r="H226" i="6"/>
  <c r="H279" i="6"/>
  <c r="H17" i="6"/>
  <c r="F301" i="6"/>
  <c r="H68" i="6"/>
  <c r="H277" i="6"/>
  <c r="H195" i="6"/>
  <c r="H107" i="6"/>
  <c r="H194" i="6"/>
  <c r="E238" i="6"/>
  <c r="H221" i="6"/>
  <c r="H147" i="6"/>
  <c r="H387" i="6"/>
  <c r="H245" i="6"/>
  <c r="F167" i="6"/>
  <c r="H455" i="6"/>
  <c r="H280" i="6"/>
  <c r="H24" i="6"/>
  <c r="H23" i="6"/>
  <c r="H189" i="6"/>
  <c r="H206" i="6"/>
  <c r="H443" i="6"/>
  <c r="H425" i="6"/>
  <c r="H10" i="6"/>
  <c r="H415" i="6"/>
  <c r="F312" i="6"/>
  <c r="H483" i="6"/>
  <c r="H360" i="6"/>
  <c r="H205" i="6"/>
  <c r="F293" i="6"/>
  <c r="H386" i="6"/>
  <c r="H44" i="6"/>
  <c r="H322" i="6"/>
  <c r="H15" i="6"/>
  <c r="H73" i="6"/>
  <c r="H448" i="6"/>
  <c r="H359" i="6"/>
  <c r="H453" i="6"/>
  <c r="H225" i="6"/>
  <c r="H188" i="6"/>
  <c r="H362" i="6"/>
  <c r="H16" i="6"/>
  <c r="H358" i="6"/>
  <c r="H458" i="6"/>
  <c r="H363" i="6"/>
  <c r="H120" i="6"/>
  <c r="H86" i="6"/>
  <c r="H370" i="6"/>
  <c r="H364" i="6"/>
  <c r="H420" i="6"/>
  <c r="F313" i="6"/>
  <c r="H389" i="6"/>
  <c r="H390" i="6"/>
  <c r="H410" i="6"/>
  <c r="H267" i="6"/>
  <c r="H209" i="6"/>
  <c r="C329" i="6"/>
  <c r="H490" i="6"/>
  <c r="H494" i="6"/>
  <c r="F51" i="6"/>
  <c r="H158" i="6"/>
  <c r="H76" i="6"/>
  <c r="H42" i="6"/>
  <c r="H166" i="6"/>
  <c r="H117" i="6"/>
  <c r="H327" i="6"/>
  <c r="H207" i="6"/>
  <c r="F302" i="6"/>
  <c r="H118" i="6"/>
  <c r="H291" i="6"/>
  <c r="H3" i="6"/>
  <c r="H190" i="6"/>
  <c r="H300" i="6"/>
  <c r="H417" i="6"/>
  <c r="F311" i="6"/>
  <c r="H163" i="6"/>
  <c r="H217" i="6"/>
  <c r="H35" i="6"/>
  <c r="H377" i="6"/>
  <c r="H335" i="6"/>
  <c r="H353" i="6"/>
  <c r="H191" i="6"/>
  <c r="H411" i="6"/>
  <c r="H71" i="6"/>
  <c r="H161" i="6"/>
  <c r="F49" i="6"/>
  <c r="H79" i="6"/>
  <c r="H148" i="6"/>
  <c r="H491" i="6"/>
  <c r="F290" i="6"/>
  <c r="H37" i="6"/>
  <c r="H284" i="6"/>
  <c r="H152" i="6"/>
  <c r="H368" i="6"/>
  <c r="H204" i="6"/>
  <c r="H268" i="6"/>
  <c r="H45" i="6"/>
  <c r="F170" i="6"/>
  <c r="H418" i="6"/>
  <c r="H248" i="6"/>
  <c r="H457" i="6"/>
  <c r="H237" i="6"/>
  <c r="F385" i="6"/>
  <c r="H323" i="6"/>
  <c r="H388" i="6"/>
  <c r="E272" i="6"/>
  <c r="H216" i="6"/>
  <c r="H228" i="6"/>
  <c r="H89" i="6"/>
  <c r="H354" i="6"/>
  <c r="H493" i="6"/>
  <c r="H422" i="6"/>
  <c r="H369" i="6"/>
  <c r="H218" i="6"/>
  <c r="H121" i="6"/>
  <c r="H380" i="6"/>
  <c r="H281" i="6"/>
  <c r="H486" i="6"/>
  <c r="H223" i="6"/>
  <c r="H442" i="6"/>
  <c r="F289" i="6"/>
  <c r="D446" i="6"/>
  <c r="H7" i="6"/>
  <c r="H452" i="6"/>
  <c r="H81" i="6"/>
  <c r="H61" i="6"/>
  <c r="H419" i="6"/>
  <c r="H408" i="6"/>
  <c r="H306" i="6"/>
  <c r="H413" i="6"/>
  <c r="H445" i="6"/>
  <c r="H391" i="6"/>
  <c r="H58" i="6"/>
  <c r="F314" i="6"/>
  <c r="F2" i="6"/>
  <c r="H447" i="6"/>
  <c r="H84" i="6"/>
  <c r="H366" i="6"/>
  <c r="H130" i="6"/>
  <c r="H36" i="6"/>
  <c r="H244" i="6"/>
  <c r="H181" i="6"/>
  <c r="F308" i="6"/>
  <c r="H416" i="6"/>
  <c r="H321" i="6"/>
  <c r="E283" i="6"/>
  <c r="F382" i="6"/>
  <c r="E250" i="6"/>
  <c r="H229" i="6"/>
  <c r="H332" i="6"/>
  <c r="H108" i="6"/>
  <c r="H119" i="6"/>
  <c r="F47" i="6"/>
  <c r="H285" i="6"/>
  <c r="H331" i="6"/>
  <c r="F303" i="6"/>
  <c r="H59" i="6"/>
  <c r="H325" i="6"/>
  <c r="E271" i="6"/>
  <c r="H178" i="6"/>
  <c r="H414" i="6"/>
  <c r="H151" i="6"/>
  <c r="H356" i="6"/>
  <c r="H282" i="6"/>
  <c r="H22" i="6"/>
  <c r="F53" i="6"/>
  <c r="H352" i="6"/>
  <c r="H492" i="6"/>
  <c r="H122" i="6"/>
  <c r="F172" i="6"/>
  <c r="H70" i="6"/>
  <c r="H461" i="6"/>
  <c r="AQ70" i="2"/>
  <c r="AS70" i="2"/>
  <c r="T4" i="3"/>
  <c r="D450" i="6"/>
  <c r="AO97" i="2"/>
  <c r="T47" i="3"/>
  <c r="AN97" i="2"/>
  <c r="AM97" i="2"/>
  <c r="U47" i="3" s="1"/>
  <c r="AP97" i="2"/>
  <c r="AS97" i="2"/>
  <c r="AR97" i="2"/>
  <c r="W47" i="3" s="1"/>
  <c r="AQ97" i="2"/>
  <c r="AT97" i="2"/>
  <c r="V47" i="3" s="1"/>
  <c r="E252" i="6"/>
  <c r="I396" i="6"/>
  <c r="H40" i="6"/>
  <c r="E241" i="6"/>
  <c r="H454" i="6"/>
  <c r="AS47" i="2"/>
  <c r="AR47" i="2"/>
  <c r="AP47" i="2"/>
  <c r="AT47" i="2"/>
  <c r="J45" i="3" s="1"/>
  <c r="AO47" i="2"/>
  <c r="AN47" i="2"/>
  <c r="AQ47" i="2"/>
  <c r="AM47" i="2"/>
  <c r="I45" i="3" s="1"/>
  <c r="H45" i="3"/>
  <c r="N104" i="2"/>
  <c r="AF102" i="2" s="1"/>
  <c r="C147" i="4" s="1"/>
  <c r="AT32" i="2"/>
  <c r="J30" i="3" s="1"/>
  <c r="AS32" i="2"/>
  <c r="K30" i="3" s="1"/>
  <c r="AR32" i="2"/>
  <c r="AN32" i="2"/>
  <c r="AQ32" i="2"/>
  <c r="AO32" i="2"/>
  <c r="AP32" i="2"/>
  <c r="H30" i="3"/>
  <c r="AM32" i="2"/>
  <c r="I30" i="3" s="1"/>
  <c r="G83" i="6"/>
  <c r="AQ54" i="2"/>
  <c r="C328" i="6"/>
  <c r="I147" i="6"/>
  <c r="H106" i="6"/>
  <c r="H155" i="6"/>
  <c r="H43" i="6"/>
  <c r="H127" i="6"/>
  <c r="I449" i="6"/>
  <c r="H367" i="6"/>
  <c r="I13" i="6"/>
  <c r="I407" i="6"/>
  <c r="H14" i="6"/>
  <c r="I297" i="6"/>
  <c r="E275" i="6"/>
  <c r="F305" i="6"/>
  <c r="I186" i="6"/>
  <c r="I57" i="6"/>
  <c r="I59" i="6"/>
  <c r="I310" i="6"/>
  <c r="I51" i="6"/>
  <c r="I322" i="6"/>
  <c r="I442" i="6"/>
  <c r="I23" i="6"/>
  <c r="I292" i="6"/>
  <c r="I395" i="6"/>
  <c r="I29" i="6"/>
  <c r="I356" i="6"/>
  <c r="I467" i="6"/>
  <c r="E168" i="6"/>
  <c r="E176" i="6"/>
  <c r="E13" i="6"/>
  <c r="G90" i="6"/>
  <c r="F50" i="6"/>
  <c r="H200" i="6"/>
  <c r="H355" i="6"/>
  <c r="AN78" i="2"/>
  <c r="AO78" i="2"/>
  <c r="T28" i="3"/>
  <c r="AR78" i="2"/>
  <c r="AM78" i="2"/>
  <c r="U28" i="3" s="1"/>
  <c r="AS78" i="2"/>
  <c r="AP78" i="2"/>
  <c r="F324" i="6"/>
  <c r="BF68" i="2"/>
  <c r="BE68" i="2"/>
  <c r="BR68" i="2" s="1"/>
  <c r="AN57" i="2"/>
  <c r="AM57" i="2"/>
  <c r="U7" i="3" s="1"/>
  <c r="T7" i="3"/>
  <c r="H139" i="6"/>
  <c r="F46" i="6"/>
  <c r="F42" i="6"/>
  <c r="D416" i="6"/>
  <c r="E209" i="6"/>
  <c r="D91" i="6"/>
  <c r="AO55" i="2"/>
  <c r="AQ55" i="2"/>
  <c r="AS55" i="2"/>
  <c r="AT55" i="2"/>
  <c r="V5" i="3" s="1"/>
  <c r="AR55" i="2"/>
  <c r="AP55" i="2"/>
  <c r="E195" i="6"/>
  <c r="D385" i="6"/>
  <c r="E247" i="6"/>
  <c r="AR41" i="2"/>
  <c r="AM41" i="2"/>
  <c r="I39" i="3" s="1"/>
  <c r="AO41" i="2"/>
  <c r="AQ41" i="2"/>
  <c r="H39" i="3"/>
  <c r="AT41" i="2"/>
  <c r="J39" i="3" s="1"/>
  <c r="AP41" i="2"/>
  <c r="AS41" i="2"/>
  <c r="AN41" i="2"/>
  <c r="E221" i="6"/>
  <c r="F151" i="6"/>
  <c r="F366" i="6"/>
  <c r="G6" i="6"/>
  <c r="D211" i="6"/>
  <c r="D53" i="6"/>
  <c r="F357" i="6"/>
  <c r="F323" i="6"/>
  <c r="F155" i="6"/>
  <c r="F186" i="6"/>
  <c r="E196" i="6"/>
  <c r="E212" i="6"/>
  <c r="E178" i="6"/>
  <c r="D375" i="6"/>
  <c r="H467" i="6"/>
  <c r="G122" i="6"/>
  <c r="F69" i="6"/>
  <c r="G19" i="6"/>
  <c r="F37" i="6"/>
  <c r="D255" i="6"/>
  <c r="D220" i="6"/>
  <c r="F268" i="6"/>
  <c r="F486" i="6"/>
  <c r="F74" i="6"/>
  <c r="F370" i="6"/>
  <c r="F64" i="6"/>
  <c r="H142" i="6"/>
  <c r="F369" i="6"/>
  <c r="F119" i="6"/>
  <c r="F197" i="6"/>
  <c r="F75" i="6"/>
  <c r="H446" i="6"/>
  <c r="F182" i="6"/>
  <c r="F201" i="6"/>
  <c r="H134" i="6"/>
  <c r="H261" i="6"/>
  <c r="I490" i="6"/>
  <c r="F63" i="6"/>
  <c r="F442" i="6"/>
  <c r="H463" i="6"/>
  <c r="I273" i="6"/>
  <c r="F181" i="6"/>
  <c r="F150" i="6"/>
  <c r="F180" i="6"/>
  <c r="F340" i="6"/>
  <c r="F3" i="6"/>
  <c r="F356" i="6"/>
  <c r="H234" i="6"/>
  <c r="F79" i="6"/>
  <c r="H471" i="6"/>
  <c r="F126" i="6"/>
  <c r="H241" i="6"/>
  <c r="F363" i="6"/>
  <c r="F9" i="6"/>
  <c r="F177" i="6"/>
  <c r="F118" i="6"/>
  <c r="F321" i="6"/>
  <c r="H27" i="6"/>
  <c r="H114" i="6"/>
  <c r="I248" i="6"/>
  <c r="F185" i="6"/>
  <c r="F159" i="6"/>
  <c r="F454" i="6"/>
  <c r="F242" i="6"/>
  <c r="H264" i="6"/>
  <c r="H474" i="6"/>
  <c r="F21" i="6"/>
  <c r="H428" i="6"/>
  <c r="F349" i="6"/>
  <c r="H480" i="6"/>
  <c r="F193" i="6"/>
  <c r="H469" i="6"/>
  <c r="F36" i="6"/>
  <c r="F447" i="6"/>
  <c r="F67" i="6"/>
  <c r="F192" i="6"/>
  <c r="F333" i="6"/>
  <c r="H481" i="6"/>
  <c r="F62" i="6"/>
  <c r="H465" i="6"/>
  <c r="F65" i="6"/>
  <c r="F179" i="6"/>
  <c r="F25" i="6"/>
  <c r="F39" i="6"/>
  <c r="H450" i="6"/>
  <c r="F156" i="6"/>
  <c r="F43" i="6"/>
  <c r="I489" i="6"/>
  <c r="H145" i="6"/>
  <c r="F364" i="6"/>
  <c r="F123" i="6"/>
  <c r="I286" i="6"/>
  <c r="H135" i="6"/>
  <c r="H262" i="6"/>
  <c r="F277" i="6"/>
  <c r="F183" i="6"/>
  <c r="I165" i="6"/>
  <c r="F117" i="6"/>
  <c r="G79" i="6"/>
  <c r="D395" i="6"/>
  <c r="D188" i="6"/>
  <c r="G165" i="6"/>
  <c r="D253" i="6"/>
  <c r="D322" i="6"/>
  <c r="D300" i="6"/>
  <c r="G57" i="6"/>
  <c r="D339" i="6"/>
  <c r="D175" i="6"/>
  <c r="D168" i="6"/>
  <c r="D269" i="6"/>
  <c r="G11" i="6"/>
  <c r="J473" i="6"/>
  <c r="G112" i="6"/>
  <c r="D120" i="6"/>
  <c r="E226" i="6"/>
  <c r="E42" i="6"/>
  <c r="E215" i="6"/>
  <c r="E251" i="6"/>
  <c r="D403" i="6"/>
  <c r="D56" i="6"/>
  <c r="D317" i="6"/>
  <c r="D427" i="6"/>
  <c r="E227" i="6"/>
  <c r="J457" i="6"/>
  <c r="D378" i="6"/>
  <c r="D289" i="6"/>
  <c r="D67" i="6"/>
  <c r="E180" i="6"/>
  <c r="D135" i="6"/>
  <c r="D380" i="6"/>
  <c r="D303" i="6"/>
  <c r="D346" i="6"/>
  <c r="J127" i="6"/>
  <c r="D354" i="6"/>
  <c r="J477" i="6"/>
  <c r="D341" i="6"/>
  <c r="D410" i="6"/>
  <c r="I419" i="6"/>
  <c r="D5" i="6"/>
  <c r="G58" i="6"/>
  <c r="D382" i="6"/>
  <c r="G89" i="6"/>
  <c r="D287" i="6"/>
  <c r="D307" i="6"/>
  <c r="E278" i="6"/>
  <c r="D372" i="6"/>
  <c r="D298" i="6"/>
  <c r="D357" i="6"/>
  <c r="E24" i="6"/>
  <c r="E262" i="6"/>
  <c r="E242" i="6"/>
  <c r="D63" i="6"/>
  <c r="E171" i="6"/>
  <c r="D340" i="6"/>
  <c r="D321" i="6"/>
  <c r="E245" i="6"/>
  <c r="D406" i="6"/>
  <c r="J422" i="6"/>
  <c r="D69" i="6"/>
  <c r="D384" i="6"/>
  <c r="D97" i="6"/>
  <c r="D252" i="6"/>
  <c r="E28" i="6"/>
  <c r="J480" i="6"/>
  <c r="D149" i="6"/>
  <c r="G131" i="6"/>
  <c r="E202" i="6"/>
  <c r="E10" i="6"/>
  <c r="D237" i="6"/>
  <c r="E205" i="6"/>
  <c r="D435" i="6"/>
  <c r="J437" i="6"/>
  <c r="D377" i="6"/>
  <c r="E259" i="6"/>
  <c r="D304" i="6"/>
  <c r="D169" i="6"/>
  <c r="D203" i="6"/>
  <c r="D152" i="6"/>
  <c r="AS81" i="2"/>
  <c r="AR81" i="2"/>
  <c r="W31" i="3" s="1"/>
  <c r="AQ81" i="2"/>
  <c r="AM81" i="2"/>
  <c r="U31" i="3" s="1"/>
  <c r="T31" i="3"/>
  <c r="AO81" i="2"/>
  <c r="F178" i="6"/>
  <c r="F341" i="6"/>
  <c r="BF69" i="2"/>
  <c r="F335" i="6"/>
  <c r="H274" i="6"/>
  <c r="H146" i="6"/>
  <c r="D311" i="6"/>
  <c r="D471" i="6"/>
  <c r="F152" i="6"/>
  <c r="I459" i="6"/>
  <c r="F444" i="6"/>
  <c r="H265" i="6"/>
  <c r="F45" i="6"/>
  <c r="F121" i="6"/>
  <c r="F344" i="6"/>
  <c r="H441" i="6"/>
  <c r="AN81" i="2"/>
  <c r="D464" i="6"/>
  <c r="E43" i="6"/>
  <c r="E30" i="6"/>
  <c r="C265" i="6"/>
  <c r="H169" i="6"/>
  <c r="C449" i="6"/>
  <c r="C334" i="6"/>
  <c r="AN56" i="2"/>
  <c r="AM56" i="2"/>
  <c r="U6" i="3" s="1"/>
  <c r="AT56" i="2"/>
  <c r="V6" i="3" s="1"/>
  <c r="AR56" i="2"/>
  <c r="T6" i="3"/>
  <c r="AT72" i="2"/>
  <c r="V22" i="3" s="1"/>
  <c r="AS72" i="2"/>
  <c r="AR72" i="2"/>
  <c r="W22" i="3" s="1"/>
  <c r="AP72" i="2"/>
  <c r="AO72" i="2"/>
  <c r="AN72" i="2"/>
  <c r="G127" i="6"/>
  <c r="G144" i="6"/>
  <c r="C225" i="6"/>
  <c r="C249" i="6"/>
  <c r="H213" i="6"/>
  <c r="C350" i="6"/>
  <c r="BL63" i="2"/>
  <c r="G26" i="6"/>
  <c r="C55" i="6"/>
  <c r="H172" i="6"/>
  <c r="G296" i="6"/>
  <c r="C325" i="6"/>
  <c r="H184" i="6"/>
  <c r="G20" i="6"/>
  <c r="C367" i="6"/>
  <c r="C89" i="6"/>
  <c r="C209" i="6"/>
  <c r="C220" i="6"/>
  <c r="G166" i="6"/>
  <c r="C436" i="6"/>
  <c r="C227" i="6"/>
  <c r="C238" i="6"/>
  <c r="C479" i="6"/>
  <c r="G299" i="6"/>
  <c r="G130" i="6"/>
  <c r="C426" i="6"/>
  <c r="C250" i="6"/>
  <c r="C412" i="6"/>
  <c r="C358" i="6"/>
  <c r="G25" i="6"/>
  <c r="C428" i="6"/>
  <c r="C311" i="6"/>
  <c r="C451" i="6"/>
  <c r="G164" i="6"/>
  <c r="G129" i="6"/>
  <c r="C478" i="6"/>
  <c r="G100" i="6"/>
  <c r="C480" i="6"/>
  <c r="H304" i="6"/>
  <c r="G120" i="6"/>
  <c r="C373" i="6"/>
  <c r="C199" i="6"/>
  <c r="C450" i="6"/>
  <c r="G94" i="6"/>
  <c r="C324" i="6"/>
  <c r="C61" i="6"/>
  <c r="G41" i="6"/>
  <c r="C116" i="6"/>
  <c r="G168" i="6"/>
  <c r="C179" i="6"/>
  <c r="G53" i="6"/>
  <c r="G99" i="6"/>
  <c r="C230" i="6"/>
  <c r="C286" i="6"/>
  <c r="J247" i="6"/>
  <c r="C378" i="6"/>
  <c r="C115" i="6"/>
  <c r="C192" i="6"/>
  <c r="C143" i="6"/>
  <c r="G8" i="6"/>
  <c r="C107" i="6"/>
  <c r="G43" i="6"/>
  <c r="H348" i="6"/>
  <c r="C241" i="6"/>
  <c r="C219" i="6"/>
  <c r="G135" i="6"/>
  <c r="C206" i="6"/>
  <c r="T30" i="3"/>
  <c r="C146" i="6"/>
  <c r="C391" i="6"/>
  <c r="H312" i="6"/>
  <c r="C470" i="6"/>
  <c r="C198" i="6"/>
  <c r="C79" i="6"/>
  <c r="BL66" i="2"/>
  <c r="F7" i="6"/>
  <c r="F455" i="6"/>
  <c r="F187" i="6"/>
  <c r="H30" i="6"/>
  <c r="AT70" i="2"/>
  <c r="V20" i="3" s="1"/>
  <c r="AM70" i="2"/>
  <c r="U20" i="3" s="1"/>
  <c r="H470" i="6"/>
  <c r="F327" i="6"/>
  <c r="H336" i="6"/>
  <c r="F368" i="6"/>
  <c r="F202" i="6"/>
  <c r="F73" i="6"/>
  <c r="H238" i="6"/>
  <c r="H438" i="6"/>
  <c r="H472" i="6"/>
  <c r="F435" i="6"/>
  <c r="H132" i="6"/>
  <c r="F162" i="6"/>
  <c r="F281" i="6"/>
  <c r="F362" i="6"/>
  <c r="F432" i="6"/>
  <c r="F122" i="6"/>
  <c r="F199" i="6"/>
  <c r="F345" i="6"/>
  <c r="H255" i="6"/>
  <c r="H254" i="6"/>
  <c r="H462" i="6"/>
  <c r="F57" i="6"/>
  <c r="F6" i="6"/>
  <c r="F352" i="6"/>
  <c r="F161" i="6"/>
  <c r="H250" i="6"/>
  <c r="F330" i="6"/>
  <c r="F153" i="6"/>
  <c r="F72" i="6"/>
  <c r="F190" i="6"/>
  <c r="F163" i="6"/>
  <c r="H436" i="6"/>
  <c r="H19" i="6"/>
  <c r="H133" i="6"/>
  <c r="AO65" i="2"/>
  <c r="F359" i="6"/>
  <c r="F60" i="6"/>
  <c r="F484" i="6"/>
  <c r="H249" i="6"/>
  <c r="F22" i="6"/>
  <c r="H430" i="6"/>
  <c r="H141" i="6"/>
  <c r="F77" i="6"/>
  <c r="F148" i="6"/>
  <c r="H112" i="6"/>
  <c r="F348" i="6"/>
  <c r="H488" i="6"/>
  <c r="F443" i="6"/>
  <c r="F44" i="6"/>
  <c r="F280" i="6"/>
  <c r="H253" i="6"/>
  <c r="F493" i="6"/>
  <c r="AN65" i="2"/>
  <c r="AP65" i="2"/>
  <c r="F319" i="6"/>
  <c r="F38" i="6"/>
  <c r="H235" i="6"/>
  <c r="H252" i="6"/>
  <c r="F353" i="6"/>
  <c r="F332" i="6"/>
  <c r="H440" i="6"/>
  <c r="F200" i="6"/>
  <c r="F129" i="6"/>
  <c r="F494" i="6"/>
  <c r="F350" i="6"/>
  <c r="H240" i="6"/>
  <c r="F367" i="6"/>
  <c r="H427" i="6"/>
  <c r="H283" i="6"/>
  <c r="F82" i="6"/>
  <c r="F325" i="6"/>
  <c r="AQ65" i="2"/>
  <c r="H28" i="6"/>
  <c r="F70" i="6"/>
  <c r="F329" i="6"/>
  <c r="H271" i="6"/>
  <c r="F339" i="6"/>
  <c r="F71" i="6"/>
  <c r="F434" i="6"/>
  <c r="F66" i="6"/>
  <c r="H231" i="6"/>
  <c r="H138" i="6"/>
  <c r="F184" i="6"/>
  <c r="F456" i="6"/>
  <c r="F56" i="6"/>
  <c r="F33" i="6"/>
  <c r="I451" i="6"/>
  <c r="H115" i="6"/>
  <c r="F458" i="6"/>
  <c r="AS65" i="2"/>
  <c r="W15" i="3" s="1"/>
  <c r="F270" i="6"/>
  <c r="F124" i="6"/>
  <c r="F175" i="6"/>
  <c r="F243" i="6"/>
  <c r="I285" i="6"/>
  <c r="I276" i="6"/>
  <c r="I284" i="6"/>
  <c r="H259" i="6"/>
  <c r="F457" i="6"/>
  <c r="H477" i="6"/>
  <c r="F166" i="6"/>
  <c r="H137" i="6"/>
  <c r="F338" i="6"/>
  <c r="H143" i="6"/>
  <c r="F157" i="6"/>
  <c r="F483" i="6"/>
  <c r="F326" i="6"/>
  <c r="T20" i="3"/>
  <c r="F355" i="6"/>
  <c r="F160" i="6"/>
  <c r="F360" i="6"/>
  <c r="F23" i="6"/>
  <c r="H258" i="6"/>
  <c r="F346" i="6"/>
  <c r="H449" i="6"/>
  <c r="F81" i="6"/>
  <c r="F68" i="6"/>
  <c r="F78" i="6"/>
  <c r="F278" i="6"/>
  <c r="I491" i="6"/>
  <c r="F5" i="6"/>
  <c r="F188" i="6"/>
  <c r="F4" i="6"/>
  <c r="F245" i="6"/>
  <c r="H479" i="6"/>
  <c r="AR70" i="2"/>
  <c r="W20" i="3" s="1"/>
  <c r="F453" i="6"/>
  <c r="F120" i="6"/>
  <c r="H239" i="6"/>
  <c r="F328" i="6"/>
  <c r="F247" i="6"/>
  <c r="F487" i="6"/>
  <c r="H26" i="6"/>
  <c r="I251" i="6"/>
  <c r="F59" i="6"/>
  <c r="F80" i="6"/>
  <c r="I448" i="6"/>
  <c r="H466" i="6"/>
  <c r="F61" i="6"/>
  <c r="H431" i="6"/>
  <c r="F317" i="6"/>
  <c r="F282" i="6"/>
  <c r="AN70" i="2"/>
  <c r="H116" i="6"/>
  <c r="F351" i="6"/>
  <c r="F318" i="6"/>
  <c r="H429" i="6"/>
  <c r="F334" i="6"/>
  <c r="F55" i="6"/>
  <c r="H342" i="6"/>
  <c r="F24" i="6"/>
  <c r="H257" i="6"/>
  <c r="I128" i="6"/>
  <c r="F20" i="6"/>
  <c r="F58" i="6"/>
  <c r="H246" i="6"/>
  <c r="F320" i="6"/>
  <c r="F492" i="6"/>
  <c r="F445" i="6"/>
  <c r="AO70" i="2"/>
  <c r="H144" i="6"/>
  <c r="F316" i="6"/>
  <c r="F485" i="6"/>
  <c r="F452" i="6"/>
  <c r="F189" i="6"/>
  <c r="H464" i="6"/>
  <c r="H468" i="6"/>
  <c r="H475" i="6"/>
  <c r="H263" i="6"/>
  <c r="H272" i="6"/>
  <c r="F191" i="6"/>
  <c r="F358" i="6"/>
  <c r="F149" i="6"/>
  <c r="H236" i="6"/>
  <c r="F198" i="6"/>
  <c r="F76" i="6"/>
  <c r="AP70" i="2"/>
  <c r="H275" i="6"/>
  <c r="H473" i="6"/>
  <c r="H31" i="6"/>
  <c r="F322" i="6"/>
  <c r="H476" i="6"/>
  <c r="F41" i="6"/>
  <c r="I461" i="6"/>
  <c r="F365" i="6"/>
  <c r="H256" i="6"/>
  <c r="F130" i="6"/>
  <c r="F158" i="6"/>
  <c r="F347" i="6"/>
  <c r="F125" i="6"/>
  <c r="F176" i="6"/>
  <c r="F194" i="6"/>
  <c r="F40" i="6"/>
  <c r="M105" i="2"/>
  <c r="AA106" i="2" s="1"/>
  <c r="C135" i="4" s="1"/>
  <c r="F279" i="6"/>
  <c r="F482" i="6"/>
  <c r="H433" i="6"/>
  <c r="H136" i="6"/>
  <c r="H140" i="6"/>
  <c r="H29" i="6"/>
  <c r="F164" i="6"/>
  <c r="I496" i="6"/>
  <c r="H437" i="6"/>
  <c r="F354" i="6"/>
  <c r="F127" i="6"/>
  <c r="H233" i="6"/>
  <c r="H111" i="6"/>
  <c r="H478" i="6"/>
  <c r="F495" i="6"/>
  <c r="H69" i="6"/>
  <c r="H129" i="6"/>
  <c r="H103" i="6"/>
  <c r="H273" i="6"/>
  <c r="E230" i="6"/>
  <c r="E236" i="6"/>
  <c r="D445" i="6"/>
  <c r="G86" i="6"/>
  <c r="E15" i="6"/>
  <c r="J366" i="6"/>
  <c r="D447" i="6"/>
  <c r="E206" i="6"/>
  <c r="D351" i="6"/>
  <c r="D192" i="6"/>
  <c r="D468" i="6"/>
  <c r="D51" i="6"/>
  <c r="D210" i="6"/>
  <c r="D487" i="6"/>
  <c r="D442" i="6"/>
  <c r="D68" i="6"/>
  <c r="E233" i="6"/>
  <c r="D13" i="6"/>
  <c r="J460" i="6"/>
  <c r="D296" i="6"/>
  <c r="D310" i="6"/>
  <c r="BF67" i="2"/>
  <c r="E31" i="6"/>
  <c r="E279" i="6"/>
  <c r="G143" i="6"/>
  <c r="D241" i="6"/>
  <c r="D400" i="6"/>
  <c r="D182" i="6"/>
  <c r="G76" i="6"/>
  <c r="G137" i="6"/>
  <c r="J453" i="6"/>
  <c r="D353" i="6"/>
  <c r="E7" i="6"/>
  <c r="D100" i="6"/>
  <c r="D50" i="6"/>
  <c r="D62" i="6"/>
  <c r="D54" i="6"/>
  <c r="E266" i="6"/>
  <c r="AS30" i="2"/>
  <c r="K28" i="3" s="1"/>
  <c r="D95" i="6"/>
  <c r="E235" i="6"/>
  <c r="D295" i="6"/>
  <c r="D360" i="6"/>
  <c r="D147" i="6"/>
  <c r="D136" i="6"/>
  <c r="D328" i="6"/>
  <c r="D167" i="6"/>
  <c r="G78" i="6"/>
  <c r="D4" i="6"/>
  <c r="J387" i="6"/>
  <c r="D356" i="6"/>
  <c r="G103" i="6"/>
  <c r="D55" i="6"/>
  <c r="D219" i="6"/>
  <c r="D336" i="6"/>
  <c r="AT30" i="2"/>
  <c r="J28" i="3" s="1"/>
  <c r="D465" i="6"/>
  <c r="D412" i="6"/>
  <c r="E198" i="6"/>
  <c r="G101" i="6"/>
  <c r="E193" i="6"/>
  <c r="D428" i="6"/>
  <c r="D66" i="6"/>
  <c r="D344" i="6"/>
  <c r="D290" i="6"/>
  <c r="D490" i="6"/>
  <c r="D238" i="6"/>
  <c r="J441" i="6"/>
  <c r="G39" i="6"/>
  <c r="D320" i="6"/>
  <c r="D12" i="6"/>
  <c r="G27" i="6"/>
  <c r="J391" i="6"/>
  <c r="J425" i="6"/>
  <c r="D431" i="6"/>
  <c r="D83" i="6"/>
  <c r="D462" i="6"/>
  <c r="G3" i="6"/>
  <c r="G21" i="6"/>
  <c r="D240" i="6"/>
  <c r="E232" i="6"/>
  <c r="E184" i="6"/>
  <c r="D35" i="6"/>
  <c r="E25" i="6"/>
  <c r="D308" i="6"/>
  <c r="E208" i="6"/>
  <c r="D217" i="6"/>
  <c r="I363" i="6"/>
  <c r="D176" i="6"/>
  <c r="D33" i="6"/>
  <c r="D343" i="6"/>
  <c r="D48" i="6"/>
  <c r="D376" i="6"/>
  <c r="D132" i="6"/>
  <c r="D2" i="6"/>
  <c r="D409" i="6"/>
  <c r="D301" i="6"/>
  <c r="D399" i="6"/>
  <c r="G40" i="6"/>
  <c r="D47" i="6"/>
  <c r="J362" i="6"/>
  <c r="G110" i="6"/>
  <c r="D350" i="6"/>
  <c r="D156" i="6"/>
  <c r="E260" i="6"/>
  <c r="D288" i="6"/>
  <c r="E18" i="6"/>
  <c r="D324" i="6"/>
  <c r="D347" i="6"/>
  <c r="D484" i="6"/>
  <c r="D407" i="6"/>
  <c r="G88" i="6"/>
  <c r="J331" i="6"/>
  <c r="E17" i="6"/>
  <c r="D315" i="6"/>
  <c r="D267" i="6"/>
  <c r="D314" i="6"/>
  <c r="D72" i="6"/>
  <c r="D393" i="6"/>
  <c r="D397" i="6"/>
  <c r="G104" i="6"/>
  <c r="D36" i="6"/>
  <c r="D84" i="6"/>
  <c r="G124" i="6"/>
  <c r="E224" i="6"/>
  <c r="E187" i="6"/>
  <c r="G142" i="6"/>
  <c r="D373" i="6"/>
  <c r="D448" i="6"/>
  <c r="D319" i="6"/>
  <c r="D90" i="6"/>
  <c r="D392" i="6"/>
  <c r="D326" i="6"/>
  <c r="D94" i="6"/>
  <c r="D329" i="6"/>
  <c r="D150" i="6"/>
  <c r="E263" i="6"/>
  <c r="D444" i="6"/>
  <c r="D26" i="6"/>
  <c r="D96" i="6"/>
  <c r="D451" i="6"/>
  <c r="D273" i="6"/>
  <c r="G85" i="6"/>
  <c r="G73" i="6"/>
  <c r="D204" i="6"/>
  <c r="D396" i="6"/>
  <c r="D231" i="6"/>
  <c r="G146" i="6"/>
  <c r="E199" i="6"/>
  <c r="D111" i="6"/>
  <c r="D467" i="6"/>
  <c r="D99" i="6"/>
  <c r="D118" i="6"/>
  <c r="G162" i="6"/>
  <c r="D299" i="6"/>
  <c r="D305" i="6"/>
  <c r="D117" i="6"/>
  <c r="E181" i="6"/>
  <c r="I332" i="6"/>
  <c r="D189" i="6"/>
  <c r="E186" i="6"/>
  <c r="D191" i="6"/>
  <c r="D133" i="6"/>
  <c r="G159" i="6"/>
  <c r="J369" i="6"/>
  <c r="I474" i="6"/>
  <c r="G37" i="6"/>
  <c r="D371" i="6"/>
  <c r="G107" i="6"/>
  <c r="D216" i="6"/>
  <c r="D381" i="6"/>
  <c r="I454" i="6"/>
  <c r="G14" i="6"/>
  <c r="G106" i="6"/>
  <c r="E9" i="6"/>
  <c r="D316" i="6"/>
  <c r="G113" i="6"/>
  <c r="I388" i="6"/>
  <c r="I438" i="6"/>
  <c r="D276" i="6"/>
  <c r="G75" i="6"/>
  <c r="E244" i="6"/>
  <c r="E174" i="6"/>
  <c r="D325" i="6"/>
  <c r="D183" i="6"/>
  <c r="E173" i="6"/>
  <c r="E257" i="6"/>
  <c r="D432" i="6"/>
  <c r="D337" i="6"/>
  <c r="D430" i="6"/>
  <c r="G61" i="6"/>
  <c r="G60" i="6"/>
  <c r="G140" i="6"/>
  <c r="E285" i="6"/>
  <c r="D293" i="6"/>
  <c r="D402" i="6"/>
  <c r="G125" i="6"/>
  <c r="G128" i="6"/>
  <c r="E177" i="6"/>
  <c r="D256" i="6"/>
  <c r="D20" i="6"/>
  <c r="D122" i="6"/>
  <c r="D137" i="6"/>
  <c r="D107" i="6"/>
  <c r="C326" i="6"/>
  <c r="H100" i="6"/>
  <c r="H32" i="6"/>
  <c r="H110" i="6"/>
  <c r="H125" i="6"/>
  <c r="H426" i="6"/>
  <c r="D261" i="6"/>
  <c r="H99" i="6"/>
  <c r="H365" i="6"/>
  <c r="H383" i="6"/>
  <c r="F304" i="6"/>
  <c r="D476" i="6"/>
  <c r="D246" i="6"/>
  <c r="D285" i="6"/>
  <c r="D17" i="6"/>
  <c r="D349" i="6"/>
  <c r="D391" i="6"/>
  <c r="D383" i="6"/>
  <c r="H329" i="6"/>
  <c r="H298" i="6"/>
  <c r="D223" i="6"/>
  <c r="D86" i="6"/>
  <c r="D140" i="6"/>
  <c r="AM33" i="2"/>
  <c r="I31" i="3" s="1"/>
  <c r="I263" i="6"/>
  <c r="AT94" i="2"/>
  <c r="V44" i="3" s="1"/>
  <c r="AM94" i="2"/>
  <c r="U44" i="3" s="1"/>
  <c r="AQ94" i="2"/>
  <c r="D232" i="6"/>
  <c r="H330" i="6"/>
  <c r="C260" i="6"/>
  <c r="D479" i="6"/>
  <c r="C171" i="6"/>
  <c r="D61" i="6"/>
  <c r="C475" i="6"/>
  <c r="C184" i="6"/>
  <c r="C397" i="6"/>
  <c r="H295" i="6"/>
  <c r="H317" i="6"/>
  <c r="AR94" i="2"/>
  <c r="W44" i="3" s="1"/>
  <c r="D101" i="6"/>
  <c r="D7" i="6"/>
  <c r="D28" i="6"/>
  <c r="D130" i="6"/>
  <c r="H373" i="6"/>
  <c r="D74" i="6"/>
  <c r="D480" i="6"/>
  <c r="D368" i="6"/>
  <c r="D401" i="6"/>
  <c r="D283" i="6"/>
  <c r="D492" i="6"/>
  <c r="D157" i="6"/>
  <c r="E277" i="6"/>
  <c r="AN30" i="2"/>
  <c r="D85" i="6"/>
  <c r="D8" i="6"/>
  <c r="D262" i="6"/>
  <c r="AP30" i="2"/>
  <c r="D108" i="6"/>
  <c r="D478" i="6"/>
  <c r="D166" i="6"/>
  <c r="AQ30" i="2"/>
  <c r="D452" i="6"/>
  <c r="D14" i="6"/>
  <c r="D257" i="6"/>
  <c r="D178" i="6"/>
  <c r="D364" i="6"/>
  <c r="D313" i="6"/>
  <c r="AQ62" i="2"/>
  <c r="C203" i="6"/>
  <c r="C207" i="6"/>
  <c r="H394" i="6"/>
  <c r="C273" i="6"/>
  <c r="G30" i="6"/>
  <c r="C314" i="6"/>
  <c r="C438" i="6"/>
  <c r="C181" i="6"/>
  <c r="J458" i="6"/>
  <c r="C254" i="6"/>
  <c r="C416" i="6"/>
  <c r="G9" i="6"/>
  <c r="G64" i="6"/>
  <c r="H303" i="6"/>
  <c r="C490" i="6"/>
  <c r="H404" i="6"/>
  <c r="AR62" i="2"/>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W37" i="3" s="1"/>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W29" i="3" s="1"/>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D366" i="6"/>
  <c r="D139" i="6"/>
  <c r="T29" i="3"/>
  <c r="D242" i="6"/>
  <c r="D52" i="6"/>
  <c r="AN87" i="2"/>
  <c r="N112" i="2"/>
  <c r="AF111" i="2" s="1"/>
  <c r="C174" i="4" s="1"/>
  <c r="D81" i="6"/>
  <c r="D109" i="6"/>
  <c r="D37" i="6"/>
  <c r="AT79" i="2"/>
  <c r="V29" i="3" s="1"/>
  <c r="D370" i="6"/>
  <c r="D327" i="6"/>
  <c r="D40" i="6"/>
  <c r="AP79" i="2"/>
  <c r="D421" i="6"/>
  <c r="D332" i="6"/>
  <c r="D42" i="6"/>
  <c r="D474" i="6"/>
  <c r="AQ79" i="2"/>
  <c r="D59" i="6"/>
  <c r="D207" i="6"/>
  <c r="D23" i="6"/>
  <c r="D460" i="6"/>
  <c r="D363" i="6"/>
  <c r="D89" i="6"/>
  <c r="D423" i="6"/>
  <c r="H343" i="6"/>
  <c r="BL60" i="2"/>
  <c r="AT73" i="2"/>
  <c r="V23" i="3" s="1"/>
  <c r="AQ73" i="2"/>
  <c r="AO73" i="2"/>
  <c r="AN73" i="2"/>
  <c r="C115" i="4" s="1"/>
  <c r="AM73" i="2"/>
  <c r="U23" i="3" s="1"/>
  <c r="AR73" i="2"/>
  <c r="AP73" i="2"/>
  <c r="T23" i="3"/>
  <c r="AS73" i="2"/>
  <c r="AN22" i="2"/>
  <c r="AM22" i="2"/>
  <c r="I20" i="3" s="1"/>
  <c r="M104" i="2"/>
  <c r="AA102" i="2"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21" i="3"/>
  <c r="W7" i="3"/>
  <c r="K36" i="3"/>
  <c r="D116" i="2"/>
  <c r="C145" i="4"/>
  <c r="AA48" i="3"/>
  <c r="C139" i="4"/>
  <c r="D110" i="2"/>
  <c r="AA21" i="3"/>
  <c r="D115" i="2"/>
  <c r="D103" i="2"/>
  <c r="AA3" i="3"/>
  <c r="C132" i="4"/>
  <c r="AA30" i="3"/>
  <c r="K47" i="3"/>
  <c r="D111" i="2"/>
  <c r="AA18" i="3"/>
  <c r="C140" i="4"/>
  <c r="C150" i="4"/>
  <c r="D105" i="2"/>
  <c r="AA31" i="3"/>
  <c r="C143" i="4" l="1"/>
  <c r="AA42" i="3"/>
  <c r="B177" i="4"/>
  <c r="W6" i="3"/>
  <c r="C104" i="4"/>
  <c r="AA43" i="3"/>
  <c r="W5" i="3"/>
  <c r="W28" i="3"/>
  <c r="C177" i="4"/>
  <c r="AA39" i="3"/>
  <c r="W39" i="3"/>
  <c r="AA24" i="3"/>
  <c r="C105" i="4"/>
  <c r="C102" i="4"/>
  <c r="AA40" i="3"/>
  <c r="C178" i="4"/>
  <c r="C101" i="4"/>
  <c r="K45" i="3"/>
  <c r="K37" i="3"/>
  <c r="K39" i="3"/>
  <c r="W4" i="3"/>
  <c r="AA28" i="3"/>
  <c r="W46" i="3"/>
  <c r="B168" i="4"/>
  <c r="C134" i="4"/>
  <c r="C98" i="4"/>
  <c r="C107" i="4"/>
  <c r="C160" i="4"/>
  <c r="C106" i="4"/>
  <c r="C100" i="4"/>
  <c r="B165" i="4"/>
  <c r="C126" i="4"/>
  <c r="K44" i="3"/>
  <c r="C103" i="4"/>
  <c r="C116" i="4"/>
  <c r="D106" i="2"/>
  <c r="N120" i="2" s="1"/>
  <c r="AF121" i="2" s="1"/>
  <c r="AA6" i="3"/>
  <c r="C111" i="4"/>
  <c r="C94" i="4"/>
  <c r="C99" i="4"/>
  <c r="C97" i="4"/>
  <c r="C96" i="4"/>
  <c r="C95" i="4"/>
  <c r="C92" i="4"/>
  <c r="C93" i="4"/>
  <c r="K31" i="3"/>
  <c r="W12" i="3"/>
  <c r="C117" i="4"/>
  <c r="C119" i="4"/>
  <c r="C118" i="4"/>
  <c r="C165" i="4"/>
  <c r="AA16" i="3"/>
  <c r="AA12" i="3"/>
  <c r="D104" i="2"/>
  <c r="N121" i="2" s="1"/>
  <c r="AF120" i="2" s="1"/>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AG115" i="2"/>
  <c r="M126" i="2"/>
  <c r="AA126" i="2" s="1"/>
  <c r="AG103" i="2"/>
  <c r="M120" i="2"/>
  <c r="AA121" i="2" s="1"/>
  <c r="N124" i="2"/>
  <c r="AF124" i="2" s="1"/>
  <c r="AG111" i="2"/>
  <c r="AG114" i="2"/>
  <c r="N126" i="2"/>
  <c r="AF126" i="2" s="1"/>
  <c r="AG110" i="2"/>
  <c r="M125" i="2"/>
  <c r="AA125" i="2" s="1"/>
  <c r="AG108" i="2"/>
  <c r="N123" i="2"/>
  <c r="AF123" i="2" s="1"/>
  <c r="AG116" i="2"/>
  <c r="N127" i="2"/>
  <c r="AF127" i="2" s="1"/>
  <c r="N122" i="2"/>
  <c r="AF122" i="2" s="1"/>
  <c r="AG105" i="2"/>
  <c r="AG106" i="2" l="1"/>
  <c r="AG104" i="2"/>
  <c r="M124" i="2"/>
  <c r="AA124" i="2" s="1"/>
  <c r="AE16" i="3" s="1"/>
  <c r="BT68" i="2"/>
  <c r="BU68" i="2" s="1"/>
  <c r="BT64" i="2"/>
  <c r="BT59" i="2"/>
  <c r="BU59" i="2" s="1"/>
  <c r="M123" i="2"/>
  <c r="AA123" i="2" s="1"/>
  <c r="B203" i="4"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C190" i="4"/>
  <c r="AE11" i="3"/>
  <c r="AE17" i="3"/>
  <c r="C194" i="4"/>
  <c r="D124" i="2"/>
  <c r="C187" i="4"/>
  <c r="AE22" i="3"/>
  <c r="C192" i="4"/>
  <c r="AE29" i="3"/>
  <c r="C197" i="4"/>
  <c r="AE47" i="3"/>
  <c r="C201" i="4"/>
  <c r="C183" i="4"/>
  <c r="B201" i="4"/>
  <c r="AE4" i="3"/>
  <c r="D126" i="2"/>
  <c r="C188" i="4"/>
  <c r="AE40" i="3"/>
  <c r="C206" i="4"/>
  <c r="AE5" i="3"/>
  <c r="C191" i="4"/>
  <c r="D121" i="2"/>
  <c r="C193" i="4"/>
  <c r="D123" i="2"/>
  <c r="AE35" i="3"/>
  <c r="C203" i="4" l="1"/>
  <c r="B204" i="4"/>
  <c r="C186" i="4"/>
  <c r="C204" i="4"/>
  <c r="B202" i="4"/>
  <c r="BV59" i="2"/>
  <c r="BU64" i="2"/>
  <c r="BV66" i="2" s="1"/>
  <c r="AE10" i="3"/>
  <c r="C182" i="4"/>
  <c r="BU61" i="2"/>
  <c r="B200" i="4"/>
  <c r="AE28" i="3"/>
  <c r="C184" i="4"/>
  <c r="D122" i="2"/>
  <c r="C200" i="4"/>
  <c r="C185" i="4"/>
  <c r="AE34" i="3"/>
  <c r="BV69" i="2"/>
  <c r="M131" i="2"/>
  <c r="AA131" i="2" s="1"/>
  <c r="AG121" i="2"/>
  <c r="N131" i="2"/>
  <c r="AF131" i="2" s="1"/>
  <c r="AG120" i="2"/>
  <c r="M134" i="2"/>
  <c r="AA134" i="2" s="1"/>
  <c r="AG126" i="2"/>
  <c r="AG124" i="2"/>
  <c r="M132" i="2"/>
  <c r="AA132" i="2" s="1"/>
  <c r="AG123" i="2"/>
  <c r="N133" i="2"/>
  <c r="AF133" i="2" s="1"/>
  <c r="BV68" i="2" l="1"/>
  <c r="BV62" i="2"/>
  <c r="BV67" i="2"/>
  <c r="BV65" i="2"/>
  <c r="BV58" i="2"/>
  <c r="AG122" i="2"/>
  <c r="M133" i="2"/>
  <c r="AA133" i="2" s="1"/>
  <c r="C222" i="4" s="1"/>
  <c r="BV64" i="2"/>
  <c r="BV63" i="2"/>
  <c r="BV61" i="2"/>
  <c r="BV60" i="2"/>
  <c r="C210" i="4"/>
  <c r="B220" i="4"/>
  <c r="AI7" i="3"/>
  <c r="D131" i="2"/>
  <c r="C220" i="4"/>
  <c r="AI43" i="3"/>
  <c r="C213" i="4"/>
  <c r="AI32" i="3"/>
  <c r="C216" i="4"/>
  <c r="AI8" i="3"/>
  <c r="C214" i="4"/>
  <c r="C211" i="4"/>
  <c r="D132" i="2"/>
  <c r="AI19" i="3"/>
  <c r="D133" i="2" l="1"/>
  <c r="M139" i="2" s="1"/>
  <c r="AA139" i="2" s="1"/>
  <c r="B222" i="4"/>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AG132" i="2"/>
  <c r="N138" i="2"/>
  <c r="AF138" i="2" s="1"/>
  <c r="AG131" i="2"/>
  <c r="M138" i="2"/>
  <c r="AA138" i="2" s="1"/>
  <c r="AG133" i="2" l="1"/>
  <c r="BY62" i="2"/>
  <c r="BY68" i="2"/>
  <c r="BY67" i="2"/>
  <c r="BY63" i="2"/>
  <c r="BY69" i="2"/>
  <c r="BY58" i="2"/>
  <c r="BY66" i="2"/>
  <c r="BY60" i="2"/>
  <c r="BY61" i="2"/>
  <c r="BY64" i="2"/>
  <c r="BY65" i="2"/>
  <c r="B232" i="4"/>
  <c r="C226" i="4"/>
  <c r="AA143" i="2"/>
  <c r="H138" i="2"/>
  <c r="C232" i="4"/>
  <c r="AM13" i="3"/>
  <c r="BY59" i="2"/>
  <c r="AA147" i="2"/>
  <c r="AM14" i="3"/>
  <c r="C228" i="4"/>
  <c r="D138" i="2"/>
  <c r="C227" i="4"/>
  <c r="AM37" i="3"/>
  <c r="BZ58" i="2" l="1"/>
  <c r="CA58" i="2" s="1"/>
  <c r="BZ63" i="2"/>
  <c r="BZ59" i="2"/>
  <c r="BZ65" i="2"/>
  <c r="AG138" i="2"/>
  <c r="M143" i="2"/>
  <c r="M147" i="2"/>
  <c r="AQ31" i="3"/>
  <c r="C236" i="4"/>
  <c r="BZ62" i="2"/>
  <c r="CA62" i="2" s="1"/>
  <c r="BZ68" i="2"/>
  <c r="CA68" i="2" s="1"/>
  <c r="BZ64" i="2"/>
  <c r="BZ69" i="2"/>
  <c r="CA69" i="2" s="1"/>
  <c r="BZ61" i="2"/>
  <c r="BZ66" i="2"/>
  <c r="CA66" i="2" s="1"/>
  <c r="BZ67" i="2"/>
  <c r="CA67" i="2" s="1"/>
  <c r="AU25" i="3"/>
  <c r="C240" i="4"/>
  <c r="BZ60" i="2"/>
  <c r="CA60" i="2" l="1"/>
  <c r="CA65" i="2"/>
  <c r="CA59" i="2"/>
  <c r="CA61" i="2"/>
  <c r="CE61" i="2"/>
  <c r="CA63" i="2"/>
  <c r="CB67" i="2" s="1"/>
  <c r="BM67" i="2" s="1"/>
  <c r="CA64" i="2"/>
  <c r="CB69" i="2" l="1"/>
  <c r="BM69" i="2" s="1"/>
  <c r="CB61" i="2"/>
  <c r="BM61" i="2" s="1"/>
  <c r="CB68" i="2"/>
  <c r="BM68" i="2" s="1"/>
  <c r="CB66" i="2"/>
  <c r="BM66" i="2" s="1"/>
  <c r="CB62" i="2"/>
  <c r="BM62" i="2" s="1"/>
  <c r="CB59" i="2"/>
  <c r="BM59" i="2" s="1"/>
  <c r="CB65" i="2"/>
  <c r="BM65" i="2" s="1"/>
  <c r="CB64" i="2"/>
  <c r="BM64" i="2" s="1"/>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CE58"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64" i="2" l="1"/>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E67" i="2"/>
  <c r="AU110" i="2"/>
  <c r="DM66" i="2"/>
  <c r="DN66" i="2" a="1"/>
  <c r="DN66" i="2" s="1"/>
  <c r="DM63" i="2"/>
  <c r="AU105" i="2"/>
  <c r="DN61" i="2" a="1"/>
  <c r="DN61" i="2" s="1"/>
  <c r="DM61" i="2"/>
  <c r="DM60" i="2"/>
  <c r="DN68" i="2" a="1"/>
  <c r="DN68" i="2" s="1"/>
  <c r="DN63" i="2" a="1"/>
  <c r="DN63" i="2" s="1"/>
  <c r="AU102" i="2"/>
  <c r="DM58" i="2"/>
  <c r="DN58" i="2" a="1"/>
  <c r="DN58" i="2" s="1"/>
  <c r="DM69" i="2"/>
  <c r="CF68" i="2" l="1"/>
  <c r="BN68" i="2" s="1"/>
  <c r="CF67" i="2"/>
  <c r="BN67" i="2" s="1"/>
  <c r="CF62" i="2"/>
  <c r="BN62" i="2" s="1"/>
  <c r="CF61" i="2"/>
  <c r="BN61" i="2" s="1"/>
  <c r="CF60" i="2"/>
  <c r="BN60" i="2" s="1"/>
  <c r="CF59" i="2"/>
  <c r="BN59" i="2" s="1"/>
  <c r="CF65" i="2"/>
  <c r="BN65" i="2" s="1"/>
  <c r="CF58" i="2"/>
  <c r="BN58" i="2" s="1"/>
  <c r="CF64" i="2"/>
  <c r="BN64" i="2" s="1"/>
  <c r="AU101" i="2"/>
  <c r="AV100" i="2" s="1"/>
  <c r="CF66" i="2"/>
  <c r="BN66" i="2" s="1"/>
  <c r="CF63" i="2"/>
  <c r="BN63" i="2" s="1"/>
  <c r="CF69" i="2"/>
  <c r="BN69" i="2" s="1"/>
  <c r="AL109" i="2" l="1"/>
  <c r="AL112" i="2"/>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D125" i="2" s="1"/>
  <c r="AG125" i="2" l="1"/>
  <c r="N132" i="2"/>
  <c r="AF132" i="2" s="1"/>
  <c r="N134" i="2"/>
  <c r="AF134" i="2" s="1"/>
  <c r="AG127" i="2"/>
  <c r="C195" i="4"/>
  <c r="C205" i="4"/>
  <c r="AE23" i="3"/>
  <c r="B205" i="4"/>
  <c r="AE46" i="3"/>
  <c r="B207" i="4"/>
  <c r="C207" i="4"/>
  <c r="C189" i="4"/>
  <c r="C215" i="4" l="1"/>
  <c r="AI20" i="3"/>
  <c r="C221" i="4"/>
  <c r="B221" i="4"/>
  <c r="AI44" i="3"/>
  <c r="C217" i="4"/>
  <c r="B223" i="4"/>
  <c r="D134" i="2"/>
  <c r="C223" i="4"/>
  <c r="AG134" i="2" l="1"/>
  <c r="N139" i="2"/>
  <c r="AF139" i="2" s="1"/>
  <c r="AF147" i="2" l="1"/>
  <c r="D139" i="2"/>
  <c r="C233" i="4"/>
  <c r="AF143" i="2"/>
  <c r="AM38" i="3" a="1"/>
  <c r="AM38" i="3" s="1"/>
  <c r="B233" i="4"/>
  <c r="H139" i="2"/>
  <c r="C229" i="4"/>
  <c r="D147" i="2" l="1"/>
  <c r="AG147" i="2" s="1"/>
  <c r="AA150" i="2"/>
  <c r="AA152" i="2"/>
  <c r="D143" i="2"/>
  <c r="AG143" i="2" s="1"/>
  <c r="N143" i="2"/>
  <c r="N147" i="2"/>
  <c r="AG139" i="2"/>
  <c r="C241" i="4"/>
  <c r="AA151" i="2"/>
  <c r="H147" i="2"/>
  <c r="AU26" i="3"/>
  <c r="C247" i="4"/>
  <c r="B247" i="4"/>
  <c r="C244" i="4"/>
  <c r="B244" i="4"/>
  <c r="AQ32" i="3"/>
  <c r="C237" i="4"/>
  <c r="BA21" i="3" l="1"/>
  <c r="AG150" i="2"/>
  <c r="C250" i="4"/>
  <c r="AZ25" i="3"/>
  <c r="C252" i="4"/>
  <c r="AG152" i="2"/>
  <c r="AG151" i="2"/>
  <c r="AJ151" i="2" s="1"/>
  <c r="BB23" i="3"/>
  <c r="C251" i="4"/>
  <c r="BO8" i="3" l="1"/>
  <c r="BO46" i="3"/>
  <c r="BO24" i="3"/>
  <c r="BO6" i="3"/>
  <c r="BO9" i="3"/>
  <c r="BO41" i="3"/>
  <c r="BO33" i="3"/>
  <c r="BO49" i="3"/>
  <c r="BO35" i="3"/>
  <c r="BO34" i="3"/>
  <c r="BO36" i="3"/>
  <c r="BO19" i="3"/>
  <c r="BO47" i="3"/>
  <c r="BO18" i="3"/>
  <c r="BO45" i="3"/>
  <c r="BO30" i="3"/>
  <c r="BO32" i="3"/>
  <c r="BO14" i="3"/>
  <c r="BO23" i="3"/>
  <c r="BO27" i="3"/>
  <c r="BO51" i="3"/>
  <c r="BO50" i="3"/>
  <c r="BO31" i="3"/>
  <c r="BO16" i="3"/>
  <c r="BO29" i="3"/>
  <c r="BO43" i="3"/>
  <c r="BO39" i="3"/>
  <c r="BO10" i="3"/>
  <c r="BO38" i="3"/>
  <c r="BO13" i="3"/>
  <c r="BO22" i="3"/>
  <c r="BO28" i="3"/>
  <c r="BO12" i="3"/>
  <c r="BO11" i="3"/>
  <c r="BO5" i="3"/>
  <c r="BO26" i="3"/>
  <c r="BO40" i="3"/>
  <c r="BO15" i="3"/>
  <c r="BO42" i="3"/>
  <c r="BO17" i="3"/>
  <c r="BO20" i="3"/>
  <c r="BO7" i="3"/>
  <c r="BO21" i="3"/>
  <c r="BO44" i="3"/>
  <c r="BO48" i="3"/>
  <c r="BO37" i="3"/>
  <c r="BO4" i="3"/>
  <c r="BO25" i="3"/>
  <c r="BM36" i="3"/>
  <c r="BM26" i="3"/>
  <c r="BM15" i="3"/>
  <c r="BM40" i="3"/>
  <c r="BM47" i="3"/>
  <c r="BM32" i="3"/>
  <c r="BM51" i="3"/>
  <c r="BM38" i="3"/>
  <c r="BM43" i="3"/>
  <c r="BM18" i="3"/>
  <c r="BM39" i="3"/>
  <c r="BM45" i="3"/>
  <c r="BM31" i="3"/>
  <c r="BM5" i="3"/>
  <c r="BM25" i="3"/>
  <c r="BM46" i="3"/>
  <c r="BM12" i="3"/>
  <c r="BM30" i="3"/>
  <c r="BM42" i="3"/>
  <c r="BM4" i="3"/>
  <c r="BM41" i="3"/>
  <c r="BM44" i="3"/>
  <c r="BM28" i="3"/>
  <c r="BM17" i="3"/>
  <c r="BM29" i="3"/>
  <c r="BM24" i="3"/>
  <c r="BM22" i="3"/>
  <c r="BM6" i="3"/>
  <c r="BM7" i="3"/>
  <c r="BM8" i="3"/>
  <c r="BM50" i="3"/>
  <c r="BM19" i="3"/>
  <c r="BM11" i="3"/>
  <c r="BM35" i="3"/>
  <c r="BM10" i="3"/>
  <c r="BM21" i="3"/>
  <c r="BM14" i="3"/>
  <c r="BM9" i="3"/>
  <c r="BM34" i="3"/>
  <c r="BM49" i="3"/>
  <c r="BM20" i="3"/>
  <c r="BM33" i="3"/>
  <c r="BM23" i="3"/>
  <c r="BM37" i="3"/>
  <c r="BM16" i="3"/>
  <c r="BM27" i="3"/>
  <c r="BM48" i="3"/>
  <c r="BM13" i="3"/>
  <c r="AJ155" i="2"/>
  <c r="BN19" i="3"/>
  <c r="BL19" i="3" s="1"/>
  <c r="BK19" i="3" s="1"/>
  <c r="BJ19" i="3" s="1"/>
  <c r="BI19" i="3" s="1"/>
  <c r="BH19" i="3" s="1"/>
  <c r="BN47" i="3"/>
  <c r="BN9" i="3"/>
  <c r="BN37" i="3"/>
  <c r="BN30" i="3"/>
  <c r="BN18" i="3"/>
  <c r="BN36" i="3"/>
  <c r="BN4" i="3"/>
  <c r="BN35" i="3"/>
  <c r="BN34" i="3"/>
  <c r="BN14" i="3"/>
  <c r="BN51" i="3"/>
  <c r="BN25" i="3"/>
  <c r="BN32" i="3"/>
  <c r="BN21" i="3"/>
  <c r="BL21" i="3" s="1"/>
  <c r="BK21" i="3" s="1"/>
  <c r="BJ21" i="3" s="1"/>
  <c r="BI21" i="3" s="1"/>
  <c r="BH21" i="3" s="1"/>
  <c r="BN26" i="3"/>
  <c r="BN28" i="3"/>
  <c r="BN6" i="3"/>
  <c r="BN27" i="3"/>
  <c r="BN31" i="3"/>
  <c r="BN23" i="3"/>
  <c r="BN13" i="3"/>
  <c r="BN24" i="3"/>
  <c r="BN46" i="3"/>
  <c r="BN41" i="3"/>
  <c r="BN22" i="3"/>
  <c r="BN11" i="3"/>
  <c r="BN20" i="3"/>
  <c r="BN43" i="3"/>
  <c r="BN8" i="3"/>
  <c r="BN50" i="3"/>
  <c r="BN5" i="3"/>
  <c r="BN42" i="3"/>
  <c r="BN45" i="3"/>
  <c r="BL45" i="3" s="1"/>
  <c r="BK45" i="3" s="1"/>
  <c r="BJ45" i="3" s="1"/>
  <c r="BI45" i="3" s="1"/>
  <c r="BH45" i="3" s="1"/>
  <c r="BN39" i="3"/>
  <c r="BN29" i="3"/>
  <c r="BN33" i="3"/>
  <c r="BN10" i="3"/>
  <c r="BN49" i="3"/>
  <c r="BN38" i="3"/>
  <c r="BN15" i="3"/>
  <c r="BN44" i="3"/>
  <c r="BN40" i="3"/>
  <c r="BL40" i="3" s="1"/>
  <c r="BK40" i="3" s="1"/>
  <c r="BJ40" i="3" s="1"/>
  <c r="BI40" i="3" s="1"/>
  <c r="BH40" i="3" s="1"/>
  <c r="BN7" i="3"/>
  <c r="BN16" i="3"/>
  <c r="BN17" i="3"/>
  <c r="BN12" i="3"/>
  <c r="BN48" i="3"/>
  <c r="BL39" i="3" l="1"/>
  <c r="BK39" i="3" s="1"/>
  <c r="BJ39" i="3" s="1"/>
  <c r="BI39" i="3" s="1"/>
  <c r="BH39" i="3" s="1"/>
  <c r="BL48" i="3"/>
  <c r="BK48" i="3" s="1"/>
  <c r="BJ48" i="3" s="1"/>
  <c r="BI48" i="3" s="1"/>
  <c r="BH48" i="3" s="1"/>
  <c r="BL17" i="3"/>
  <c r="BK17" i="3" s="1"/>
  <c r="BJ17" i="3" s="1"/>
  <c r="BI17" i="3" s="1"/>
  <c r="BH17" i="3" s="1"/>
  <c r="BL31" i="3"/>
  <c r="BK31" i="3" s="1"/>
  <c r="BJ31" i="3" s="1"/>
  <c r="BI31" i="3" s="1"/>
  <c r="BH31" i="3" s="1"/>
  <c r="BL28" i="3"/>
  <c r="BK28" i="3" s="1"/>
  <c r="BJ28" i="3" s="1"/>
  <c r="BI28" i="3" s="1"/>
  <c r="BH28" i="3" s="1"/>
  <c r="BL16" i="3"/>
  <c r="BK16" i="3" s="1"/>
  <c r="BJ16" i="3" s="1"/>
  <c r="BI16" i="3" s="1"/>
  <c r="BH16" i="3" s="1"/>
  <c r="BL9" i="3"/>
  <c r="BK9" i="3" s="1"/>
  <c r="BJ9" i="3" s="1"/>
  <c r="BI9" i="3" s="1"/>
  <c r="BH9" i="3" s="1"/>
  <c r="BL23" i="3"/>
  <c r="BK23" i="3" s="1"/>
  <c r="BJ23" i="3" s="1"/>
  <c r="BI23" i="3" s="1"/>
  <c r="BH23" i="3" s="1"/>
  <c r="BL32" i="3"/>
  <c r="BK32" i="3" s="1"/>
  <c r="BJ32" i="3" s="1"/>
  <c r="BI32" i="3" s="1"/>
  <c r="BH32" i="3" s="1"/>
  <c r="BL15" i="3"/>
  <c r="BK15" i="3" s="1"/>
  <c r="BJ15" i="3" s="1"/>
  <c r="BI15" i="3" s="1"/>
  <c r="BH15" i="3" s="1"/>
  <c r="BL11" i="3"/>
  <c r="BK11" i="3" s="1"/>
  <c r="BJ11" i="3" s="1"/>
  <c r="BI11" i="3" s="1"/>
  <c r="BH11" i="3" s="1"/>
  <c r="BL25" i="3"/>
  <c r="BK25" i="3" s="1"/>
  <c r="BJ25" i="3" s="1"/>
  <c r="BI25" i="3" s="1"/>
  <c r="BH25" i="3" s="1"/>
  <c r="BL37" i="3"/>
  <c r="BK37" i="3" s="1"/>
  <c r="BJ37" i="3" s="1"/>
  <c r="BI37" i="3" s="1"/>
  <c r="BH37" i="3" s="1"/>
  <c r="BL46" i="3"/>
  <c r="BK46" i="3" s="1"/>
  <c r="BJ46" i="3" s="1"/>
  <c r="BI46" i="3" s="1"/>
  <c r="BH46" i="3" s="1"/>
  <c r="BL12" i="3"/>
  <c r="BK12" i="3" s="1"/>
  <c r="BJ12" i="3" s="1"/>
  <c r="BI12" i="3" s="1"/>
  <c r="BH12" i="3" s="1"/>
  <c r="BL42" i="3"/>
  <c r="BK42" i="3" s="1"/>
  <c r="BJ42" i="3" s="1"/>
  <c r="BI42" i="3" s="1"/>
  <c r="BH42" i="3" s="1"/>
  <c r="BL36" i="3"/>
  <c r="BK36" i="3" s="1"/>
  <c r="BJ36" i="3" s="1"/>
  <c r="BI36" i="3" s="1"/>
  <c r="BH36" i="3" s="1"/>
  <c r="BL50" i="3"/>
  <c r="BK50" i="3" s="1"/>
  <c r="BJ50" i="3" s="1"/>
  <c r="BI50" i="3" s="1"/>
  <c r="BH50" i="3" s="1"/>
  <c r="BL7" i="3"/>
  <c r="BK7" i="3" s="1"/>
  <c r="BJ7" i="3" s="1"/>
  <c r="BI7" i="3" s="1"/>
  <c r="BH7" i="3" s="1"/>
  <c r="BL8" i="3"/>
  <c r="BK8" i="3" s="1"/>
  <c r="BJ8" i="3" s="1"/>
  <c r="BI8" i="3" s="1"/>
  <c r="BH8" i="3" s="1"/>
  <c r="BL26" i="3"/>
  <c r="BK26" i="3" s="1"/>
  <c r="BJ26" i="3" s="1"/>
  <c r="BI26" i="3" s="1"/>
  <c r="BH26" i="3" s="1"/>
  <c r="BL47" i="3"/>
  <c r="BK47" i="3" s="1"/>
  <c r="BJ47" i="3" s="1"/>
  <c r="BI47" i="3" s="1"/>
  <c r="BH47" i="3" s="1"/>
  <c r="BL18" i="3"/>
  <c r="BK18" i="3" s="1"/>
  <c r="BJ18" i="3" s="1"/>
  <c r="BI18" i="3" s="1"/>
  <c r="BH18" i="3" s="1"/>
  <c r="BL27" i="3"/>
  <c r="BK27" i="3" s="1"/>
  <c r="BJ27" i="3" s="1"/>
  <c r="BI27" i="3" s="1"/>
  <c r="BH27" i="3" s="1"/>
  <c r="BL30" i="3"/>
  <c r="BK30" i="3" s="1"/>
  <c r="BJ30" i="3" s="1"/>
  <c r="BI30" i="3" s="1"/>
  <c r="BH30" i="3" s="1"/>
  <c r="BL43" i="3"/>
  <c r="BK43" i="3" s="1"/>
  <c r="BJ43" i="3" s="1"/>
  <c r="BI43" i="3" s="1"/>
  <c r="BH43" i="3" s="1"/>
  <c r="BL22" i="3"/>
  <c r="BK22" i="3" s="1"/>
  <c r="BJ22" i="3" s="1"/>
  <c r="BI22" i="3" s="1"/>
  <c r="BH22" i="3" s="1"/>
  <c r="BL24" i="3"/>
  <c r="BK24" i="3" s="1"/>
  <c r="BJ24" i="3" s="1"/>
  <c r="BI24" i="3" s="1"/>
  <c r="BH24" i="3" s="1"/>
  <c r="BL5" i="3"/>
  <c r="BK5" i="3" s="1"/>
  <c r="BJ5" i="3" s="1"/>
  <c r="BI5" i="3" s="1"/>
  <c r="BH5" i="3" s="1"/>
  <c r="BL6" i="3"/>
  <c r="BK6" i="3" s="1"/>
  <c r="BJ6" i="3" s="1"/>
  <c r="BI6" i="3" s="1"/>
  <c r="BH6" i="3" s="1"/>
  <c r="BL44" i="3"/>
  <c r="BK44" i="3" s="1"/>
  <c r="BJ44" i="3" s="1"/>
  <c r="BI44" i="3" s="1"/>
  <c r="BH44" i="3" s="1"/>
  <c r="BL20" i="3"/>
  <c r="BK20" i="3" s="1"/>
  <c r="BJ20" i="3" s="1"/>
  <c r="BI20" i="3" s="1"/>
  <c r="BH20" i="3" s="1"/>
  <c r="BL38" i="3"/>
  <c r="BK38" i="3" s="1"/>
  <c r="BJ38" i="3" s="1"/>
  <c r="BI38" i="3" s="1"/>
  <c r="BH38" i="3" s="1"/>
  <c r="BL51" i="3"/>
  <c r="BK51" i="3" s="1"/>
  <c r="BJ51" i="3" s="1"/>
  <c r="BI51" i="3" s="1"/>
  <c r="BH51" i="3" s="1"/>
  <c r="BL49" i="3"/>
  <c r="BK49" i="3" s="1"/>
  <c r="BJ49" i="3" s="1"/>
  <c r="BI49" i="3" s="1"/>
  <c r="BH49" i="3" s="1"/>
  <c r="BL41" i="3"/>
  <c r="BK41" i="3" s="1"/>
  <c r="BJ41" i="3" s="1"/>
  <c r="BI41" i="3" s="1"/>
  <c r="BH41" i="3" s="1"/>
  <c r="BL14" i="3"/>
  <c r="BK14" i="3" s="1"/>
  <c r="BJ14" i="3" s="1"/>
  <c r="BI14" i="3" s="1"/>
  <c r="BH14" i="3" s="1"/>
  <c r="BL10" i="3"/>
  <c r="BK10" i="3" s="1"/>
  <c r="BJ10" i="3" s="1"/>
  <c r="BI10" i="3" s="1"/>
  <c r="BH10" i="3" s="1"/>
  <c r="BL34" i="3"/>
  <c r="BK34" i="3" s="1"/>
  <c r="BJ34" i="3" s="1"/>
  <c r="BI34" i="3" s="1"/>
  <c r="BH34" i="3" s="1"/>
  <c r="BL33" i="3"/>
  <c r="BK33" i="3" s="1"/>
  <c r="BJ33" i="3" s="1"/>
  <c r="BI33" i="3" s="1"/>
  <c r="BH33" i="3" s="1"/>
  <c r="BL35" i="3"/>
  <c r="BK35" i="3" s="1"/>
  <c r="BJ35" i="3" s="1"/>
  <c r="BI35" i="3" s="1"/>
  <c r="BH35" i="3" s="1"/>
  <c r="BL29" i="3"/>
  <c r="BK29" i="3" s="1"/>
  <c r="BJ29" i="3" s="1"/>
  <c r="BI29" i="3" s="1"/>
  <c r="BH29" i="3" s="1"/>
  <c r="BL13" i="3"/>
  <c r="BK13" i="3" s="1"/>
  <c r="BJ13" i="3" s="1"/>
  <c r="BI13" i="3" s="1"/>
  <c r="BH13" i="3" s="1"/>
  <c r="BL4" i="3"/>
  <c r="BK4" i="3" s="1"/>
  <c r="BJ4" i="3" s="1"/>
  <c r="BI4" i="3" s="1"/>
  <c r="BH4"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<sst xmlns="http://schemas.openxmlformats.org/spreadsheetml/2006/main" count="6750" uniqueCount="1513">
  <si>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</si>
  <si>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</si>
  <si>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</si>
  <si>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</si>
  <si>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</si>
  <si>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</si>
  <si>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</si>
  <si>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</si>
  <si>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</si>
  <si>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</si>
  <si>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</si>
  <si>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</si>
  <si>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</si>
  <si>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</si>
  <si>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</si>
  <si>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</si>
  <si>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</si>
  <si>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</si>
  <si>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</si>
  <si>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</si>
  <si>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</si>
  <si>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</si>
  <si>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</si>
  <si>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</si>
  <si>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</si>
  <si>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</si>
  <si>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</si>
  <si>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</si>
  <si>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</si>
  <si>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</si>
  <si>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</si>
  <si>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</si>
  <si>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</si>
  <si>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</si>
  <si>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</si>
  <si>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</si>
  <si>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</si>
  <si>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</si>
  <si>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</si>
  <si>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</si>
  <si>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</si>
  <si>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</si>
  <si>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</si>
  <si>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</si>
  <si>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</si>
  <si>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</si>
  <si>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</si>
  <si>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</si>
  <si>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</si>
  <si>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</si>
  <si>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</si>
  <si>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</si>
  <si>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</si>
  <si>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</si>
  <si>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</si>
  <si>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</si>
  <si>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</si>
  <si>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</si>
  <si>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</si>
  <si>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</si>
  <si>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</si>
  <si>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</si>
  <si>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</si>
  <si>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</si>
  <si>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</si>
  <si>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</si>
  <si>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</si>
  <si>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</si>
  <si>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</si>
  <si>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</si>
  <si>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</si>
  <si>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</si>
  <si>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</si>
  <si>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</si>
  <si>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</si>
  <si>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</si>
  <si>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</si>
  <si>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</si>
  <si>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</si>
  <si>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</si>
  <si>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</si>
  <si>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</si>
  <si>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</si>
  <si>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</si>
  <si>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</si>
  <si>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</si>
  <si>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</si>
  <si>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</si>
  <si>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</si>
  <si>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</si>
  <si>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</si>
  <si>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</si>
  <si>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</si>
  <si>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</si>
  <si>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</si>
  <si>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</si>
  <si>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</si>
  <si>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</si>
  <si>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</si>
  <si>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</si>
  <si>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</si>
  <si>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</si>
  <si>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</si>
  <si>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</si>
  <si>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</si>
  <si>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</si>
  <si>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</si>
  <si>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</si>
  <si>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</si>
  <si>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</si>
  <si>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</si>
  <si>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</si>
  <si>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</si>
  <si>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</si>
  <si>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</si>
  <si>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</si>
  <si>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</si>
  <si>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</si>
  <si>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</si>
  <si>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</si>
  <si>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</si>
  <si>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</si>
  <si>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</si>
  <si>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</si>
  <si>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</si>
  <si>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</si>
  <si>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</si>
  <si>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</si>
  <si>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</si>
  <si>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</si>
  <si>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</si>
  <si>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</si>
  <si>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</si>
  <si>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</si>
  <si>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</si>
  <si>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</si>
  <si>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</si>
  <si>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</si>
  <si>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</si>
  <si>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</si>
  <si>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</si>
  <si>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</si>
  <si>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</si>
  <si>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</si>
  <si>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</si>
  <si>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</si>
  <si>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</si>
  <si>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</si>
  <si>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</si>
  <si>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</si>
  <si>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</si>
  <si>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</si>
  <si>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</si>
  <si>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</si>
  <si>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</si>
  <si>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</si>
  <si>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</si>
  <si>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</si>
  <si>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</si>
  <si>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</si>
  <si>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</si>
  <si>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</si>
  <si>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</si>
  <si>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</si>
  <si>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</si>
  <si>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</si>
  <si>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</si>
  <si>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</si>
  <si>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</si>
  <si>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</si>
  <si>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</si>
  <si>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</si>
  <si>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</si>
  <si>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</si>
  <si>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</si>
  <si>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</si>
  <si>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</si>
  <si>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</si>
  <si>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</si>
  <si>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</si>
  <si>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</si>
  <si>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</si>
  <si>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</si>
  <si>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</si>
  <si>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</si>
  <si>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</si>
  <si>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</si>
  <si>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</si>
  <si>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</si>
  <si>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</si>
  <si>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</si>
  <si>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</si>
  <si>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</si>
  <si>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</si>
  <si>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</si>
  <si>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</si>
  <si>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</si>
  <si>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</si>
  <si>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</si>
  <si>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</si>
  <si>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</si>
  <si>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</si>
  <si>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</si>
  <si>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</si>
  <si>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</si>
  <si>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</si>
  <si>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</si>
  <si>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</si>
  <si>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</si>
  <si>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</si>
  <si>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</si>
  <si>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</si>
  <si>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</si>
  <si>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</si>
  <si>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</si>
  <si>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</si>
  <si>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</si>
  <si>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</si>
  <si>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</si>
  <si>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</si>
  <si>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</si>
  <si>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</si>
  <si>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</si>
  <si>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</si>
  <si>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</si>
  <si>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</si>
  <si>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</si>
  <si>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</si>
  <si>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</si>
  <si>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</si>
  <si>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</si>
  <si>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</si>
  <si>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</si>
  <si>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</si>
  <si>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</si>
  <si>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</si>
  <si>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</si>
  <si>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</si>
  <si>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</si>
  <si>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</si>
  <si>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</si>
  <si>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</si>
  <si>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</si>
  <si>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</si>
  <si>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</si>
  <si>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</si>
  <si>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</si>
  <si>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</si>
  <si>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</si>
  <si>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</si>
  <si>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</si>
  <si>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</si>
  <si>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</si>
  <si>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</si>
  <si>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</si>
  <si>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</si>
  <si>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</si>
  <si>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</si>
  <si>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</si>
  <si>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</si>
  <si>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</si>
  <si>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</si>
  <si>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</si>
  <si>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</si>
  <si>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</si>
  <si>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</si>
  <si>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</si>
  <si>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</si>
  <si>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</si>
  <si>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</si>
  <si>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</si>
  <si>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</si>
  <si>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</si>
  <si>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</si>
  <si>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</si>
  <si>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</si>
  <si>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</si>
  <si>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</si>
  <si>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</si>
  <si>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</si>
  <si>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</si>
  <si>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</si>
  <si>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</si>
  <si>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</si>
  <si>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</si>
  <si>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</si>
  <si>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</si>
  <si>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</si>
  <si>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</si>
  <si>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</si>
  <si>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</si>
  <si>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</si>
  <si>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</si>
  <si>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</si>
  <si>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</si>
  <si>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</si>
  <si>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</si>
  <si>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</si>
  <si>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</si>
  <si>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</si>
  <si>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</si>
  <si>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</si>
  <si>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</si>
  <si>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</si>
  <si>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</si>
  <si>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</si>
  <si>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</si>
  <si>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</si>
  <si>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</si>
  <si>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</si>
  <si>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</si>
  <si>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</si>
  <si>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</si>
  <si>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</si>
  <si>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</si>
  <si>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</si>
  <si>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</si>
  <si>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</si>
  <si>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</si>
  <si>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</si>
  <si>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</si>
  <si>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</si>
  <si>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</si>
  <si>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</si>
  <si>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</si>
  <si>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</si>
  <si>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</si>
  <si>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</si>
  <si>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</si>
  <si>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</si>
  <si>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</si>
  <si>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</si>
  <si>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</si>
  <si>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</si>
  <si>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</si>
  <si>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</si>
  <si>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</si>
  <si>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</si>
  <si>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</si>
  <si>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</si>
  <si>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</si>
  <si>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</si>
  <si>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</si>
  <si>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</si>
  <si>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</si>
  <si>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</si>
  <si>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</si>
  <si>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</si>
  <si>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</si>
  <si>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</si>
  <si>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</si>
  <si>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</si>
  <si>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</si>
  <si>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</si>
  <si>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</si>
  <si>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</si>
  <si>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</si>
  <si>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</si>
  <si>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</si>
  <si>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</si>
  <si>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</si>
  <si>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</si>
  <si>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</si>
  <si>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</si>
  <si>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</si>
  <si>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</si>
  <si>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</si>
  <si>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</si>
  <si>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</si>
  <si>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</si>
  <si>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</si>
  <si>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</si>
  <si>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</si>
  <si>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</si>
  <si>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</si>
  <si>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</si>
  <si>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</si>
  <si>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</si>
  <si>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</si>
  <si>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</si>
  <si>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</si>
  <si>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</si>
  <si>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</si>
  <si>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</si>
  <si>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</si>
  <si>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</si>
  <si>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</si>
  <si>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</si>
  <si>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</si>
  <si>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</si>
  <si>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</si>
  <si>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</si>
  <si>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</si>
  <si>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</si>
  <si>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</si>
  <si>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</si>
  <si>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</si>
  <si>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</si>
  <si>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</si>
  <si>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</si>
  <si>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</si>
  <si>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</si>
  <si>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</si>
  <si>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</si>
  <si>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</si>
  <si>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</si>
  <si>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</si>
  <si>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</si>
  <si>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</si>
  <si>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</si>
  <si>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</si>
  <si>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</si>
  <si>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</si>
  <si>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</si>
  <si>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</si>
  <si>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</si>
  <si>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</si>
  <si>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</si>
  <si>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</si>
  <si>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</si>
  <si>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</si>
  <si>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</si>
  <si>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</si>
  <si>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</si>
  <si>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</si>
  <si>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</si>
  <si>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</si>
  <si>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</si>
  <si>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</si>
  <si>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</si>
  <si>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</si>
  <si>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</si>
  <si>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</si>
  <si>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</si>
  <si>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</si>
  <si>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</si>
  <si>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</si>
  <si>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</si>
  <si>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</si>
  <si>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</si>
  <si>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</si>
  <si>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</si>
  <si>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</si>
  <si>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</si>
  <si>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</si>
  <si>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</si>
  <si>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</si>
  <si>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</si>
  <si>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</si>
  <si>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</si>
  <si>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</si>
  <si>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</si>
  <si>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</si>
  <si>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</si>
  <si>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</si>
  <si>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</si>
  <si>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</si>
  <si>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</si>
  <si>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</si>
  <si>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</si>
  <si>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</si>
  <si>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</si>
  <si>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</si>
  <si>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</si>
  <si>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</si>
  <si>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</si>
  <si>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</si>
  <si>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</si>
  <si>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</si>
  <si>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</si>
  <si>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</si>
  <si>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</si>
  <si>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</si>
  <si>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</si>
  <si>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</si>
  <si>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</si>
  <si>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</si>
  <si>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</si>
  <si>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</si>
  <si>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</si>
  <si>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</si>
  <si>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</si>
  <si>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</si>
  <si>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</si>
  <si>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</si>
  <si>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</si>
  <si>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</si>
  <si>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</si>
  <si>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</si>
  <si>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</si>
  <si>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</si>
  <si>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</si>
  <si>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</si>
  <si>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</si>
  <si>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</si>
  <si>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</si>
  <si>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</si>
  <si>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</si>
  <si>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</si>
  <si>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</si>
  <si>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</si>
  <si>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</si>
  <si>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</si>
  <si>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</si>
  <si>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</si>
  <si>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</si>
  <si>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</si>
  <si>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</si>
  <si>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</si>
  <si>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</si>
  <si>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</si>
  <si>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</si>
  <si>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</si>
  <si>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</si>
  <si>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</si>
  <si>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</si>
  <si>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</si>
  <si>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</si>
  <si>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</si>
  <si>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</si>
  <si>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</si>
  <si>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</si>
  <si>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</si>
  <si>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</si>
  <si>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</si>
  <si>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</si>
  <si>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</si>
  <si>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</si>
  <si>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</si>
  <si>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</si>
  <si>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</si>
  <si>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</si>
  <si>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</si>
  <si>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</si>
  <si>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</si>
  <si>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</si>
  <si>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</si>
  <si>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</si>
  <si>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</si>
  <si>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</si>
  <si>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</si>
  <si>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</si>
  <si>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</si>
  <si>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</si>
  <si>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</si>
  <si>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</si>
  <si>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</si>
  <si>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</si>
  <si>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</si>
  <si>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</si>
  <si>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</si>
  <si>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</si>
  <si>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</si>
  <si>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</si>
  <si>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</si>
  <si>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</si>
  <si>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</si>
  <si>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</si>
  <si>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</si>
  <si>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</si>
  <si>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</si>
  <si>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</si>
  <si>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</si>
  <si>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</si>
  <si>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</si>
  <si>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</si>
  <si>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</si>
  <si>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</si>
  <si>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</si>
  <si>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</si>
  <si>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</si>
  <si>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</si>
  <si>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</si>
  <si>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</si>
  <si>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</si>
  <si>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</si>
  <si>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</si>
  <si>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</si>
  <si>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</si>
  <si>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</si>
  <si>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</si>
  <si>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</si>
  <si>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</si>
  <si>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</si>
  <si>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</si>
  <si>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</si>
  <si>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</si>
  <si>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</si>
  <si>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</si>
  <si>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</si>
  <si>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</si>
  <si>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</si>
  <si>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</si>
  <si>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</si>
  <si>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</si>
  <si>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</si>
  <si>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</si>
  <si>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</si>
  <si>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</si>
  <si>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</si>
  <si>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</si>
  <si>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</si>
  <si>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</si>
  <si>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</si>
  <si>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</si>
  <si>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</si>
  <si>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</si>
  <si>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</si>
  <si>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</si>
  <si>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</si>
  <si>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</si>
  <si>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</si>
  <si>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</si>
  <si>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</si>
  <si>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</si>
  <si>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</si>
  <si>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</si>
  <si>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</si>
  <si>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</si>
  <si>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</si>
  <si>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</si>
  <si>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</si>
  <si>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</si>
  <si>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</si>
  <si>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</si>
  <si>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</si>
  <si>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</si>
  <si>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</si>
  <si>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</si>
  <si>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</si>
  <si>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</si>
  <si>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</si>
  <si>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</si>
  <si>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</si>
  <si>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</si>
  <si>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</si>
  <si>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</si>
  <si>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</si>
  <si>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</si>
  <si>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</si>
  <si>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</si>
  <si>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</si>
  <si>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</si>
  <si>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</si>
  <si>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</si>
  <si>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</si>
  <si>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</si>
  <si>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</si>
  <si>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</si>
  <si>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</si>
  <si>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</si>
  <si>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</si>
  <si>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</si>
  <si>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</si>
  <si>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</si>
  <si>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</si>
  <si>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</si>
  <si>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</si>
  <si>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</si>
  <si>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</si>
  <si>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</si>
  <si>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</si>
  <si>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</si>
  <si>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</si>
  <si>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</si>
  <si>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</si>
  <si>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</si>
  <si>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</si>
  <si>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</si>
  <si>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</si>
  <si>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</si>
  <si>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</si>
  <si>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</si>
  <si>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</si>
  <si>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</si>
  <si>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</si>
  <si>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</si>
  <si>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</si>
  <si>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</si>
  <si>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</si>
  <si>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</si>
  <si>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</si>
  <si>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</si>
  <si>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</si>
  <si>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</si>
  <si>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</si>
  <si>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</si>
  <si>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</si>
  <si>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</si>
  <si>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</si>
  <si>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</si>
  <si>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</si>
  <si>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</si>
  <si>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</si>
  <si>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</si>
  <si>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</si>
  <si>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</si>
  <si>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</si>
  <si>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</si>
  <si>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</si>
  <si>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</si>
  <si>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</si>
  <si>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</si>
  <si>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</si>
  <si>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</si>
  <si>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</si>
  <si>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</si>
  <si>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</si>
  <si>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</si>
  <si>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</si>
  <si>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</si>
  <si>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</si>
  <si>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</si>
  <si>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</si>
  <si>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</si>
  <si>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</si>
  <si>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</si>
  <si>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</si>
  <si>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</si>
  <si>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</si>
  <si>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</si>
  <si>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</si>
  <si>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</si>
  <si>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</si>
  <si>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</si>
  <si>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</si>
  <si>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</si>
  <si>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</si>
  <si>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</si>
  <si>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</si>
  <si>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</si>
  <si>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</si>
  <si>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</si>
  <si>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</si>
  <si>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</si>
  <si>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</si>
  <si>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</si>
  <si>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</si>
  <si>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</si>
  <si>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</si>
  <si>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</si>
  <si>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</si>
  <si>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</si>
  <si>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</si>
  <si>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</si>
  <si>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</si>
  <si>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</si>
  <si>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</si>
  <si>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</si>
  <si>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</si>
  <si>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</si>
  <si>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</si>
  <si>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</si>
  <si>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</si>
  <si>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</si>
  <si>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</si>
  <si>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</si>
  <si>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</si>
  <si>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</si>
  <si>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</si>
  <si>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</si>
  <si>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</si>
  <si>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</si>
  <si>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</si>
  <si>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</si>
  <si>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</si>
  <si>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</si>
  <si>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</si>
  <si>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</si>
  <si>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</si>
  <si>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</si>
  <si>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</si>
  <si>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</si>
  <si>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</si>
  <si>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</si>
  <si>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</si>
  <si>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</si>
  <si>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</si>
  <si>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</si>
  <si>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</si>
  <si>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</si>
  <si>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</si>
  <si>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</si>
  <si>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</si>
  <si>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</si>
  <si>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</si>
  <si>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</si>
  <si>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</si>
  <si>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</si>
  <si>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</si>
  <si>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</si>
  <si>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</si>
  <si>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</si>
  <si>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</si>
  <si>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</si>
  <si>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</si>
  <si>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</si>
  <si>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</si>
  <si>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</si>
  <si>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</si>
  <si>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</si>
  <si>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</si>
  <si>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</si>
  <si>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</si>
  <si>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</si>
  <si>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</si>
  <si>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</si>
  <si>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</si>
  <si>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</si>
  <si>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</si>
  <si>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</si>
  <si>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</si>
  <si>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</si>
  <si>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</si>
  <si>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</si>
  <si>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</si>
  <si>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</si>
  <si>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</si>
  <si>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</si>
  <si>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</si>
  <si>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</si>
  <si>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</si>
  <si>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</si>
  <si>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</si>
  <si>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</si>
  <si>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</si>
  <si>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</si>
  <si>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</si>
  <si>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</si>
  <si>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</si>
  <si>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</si>
  <si>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</si>
  <si>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</si>
  <si>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</si>
  <si>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</si>
  <si>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</si>
  <si>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</si>
  <si>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</si>
  <si>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</si>
  <si>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</si>
  <si>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</si>
  <si>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</si>
  <si>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</si>
  <si>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</si>
  <si>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</si>
  <si>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</si>
  <si>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</si>
  <si>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</si>
  <si>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</si>
  <si>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</si>
  <si>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</si>
  <si>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</si>
  <si>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</si>
  <si>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</si>
  <si>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</si>
  <si>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</si>
  <si>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</si>
  <si>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</si>
  <si>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</si>
  <si>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</si>
  <si>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</si>
  <si>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</si>
  <si>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</si>
  <si>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</si>
  <si>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</si>
  <si>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</si>
  <si>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</si>
  <si>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</si>
  <si>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</si>
  <si>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</si>
  <si>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</si>
  <si>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</si>
  <si>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</si>
  <si>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</si>
  <si>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</si>
  <si>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</si>
  <si>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</si>
  <si>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</si>
  <si>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</si>
  <si>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</si>
  <si>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</si>
  <si>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</si>
  <si>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</si>
  <si>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</si>
  <si>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</si>
  <si>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</si>
  <si>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</si>
  <si>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</si>
  <si>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</si>
  <si>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</si>
  <si>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</si>
  <si>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</si>
  <si>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</si>
  <si>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</si>
  <si>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</si>
  <si>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</si>
  <si>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</si>
  <si>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</si>
  <si>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</si>
  <si>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</si>
  <si>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</si>
  <si>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</si>
  <si>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</si>
  <si>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</si>
  <si>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</si>
  <si>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</si>
  <si>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</si>
  <si>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</si>
  <si>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</si>
  <si>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</si>
  <si>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</si>
  <si>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</si>
  <si>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</si>
  <si>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</si>
  <si>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</si>
  <si>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</si>
  <si>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</si>
  <si>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</si>
  <si>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</si>
  <si>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</si>
  <si>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</si>
  <si>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</si>
  <si>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</si>
  <si>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</si>
  <si>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</si>
  <si>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</si>
  <si>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</si>
  <si>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</si>
  <si>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</si>
  <si>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</si>
  <si>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</si>
  <si>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</si>
  <si>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</si>
  <si>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</si>
  <si>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</si>
  <si>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</si>
  <si>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</si>
  <si>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</si>
  <si>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</si>
  <si>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</si>
  <si>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</si>
  <si>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</si>
  <si>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</si>
  <si>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</si>
  <si>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</si>
  <si>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</si>
  <si>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</si>
  <si>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</si>
  <si>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</si>
  <si>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</si>
  <si>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</si>
  <si>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</si>
  <si>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</si>
  <si>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</si>
  <si>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</si>
  <si>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</si>
  <si>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</si>
  <si>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</si>
  <si>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</si>
  <si>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</si>
  <si>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</si>
  <si>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</si>
  <si>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</si>
  <si>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</si>
  <si>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</si>
  <si>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</si>
  <si>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</si>
  <si>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</si>
  <si>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</si>
  <si>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</si>
  <si>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</si>
  <si>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</si>
  <si>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</si>
  <si>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</si>
  <si>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</si>
  <si>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</si>
  <si>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</si>
  <si>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</si>
  <si>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</si>
  <si>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</si>
  <si>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</si>
  <si>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</si>
  <si>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</si>
  <si>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</si>
  <si>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</si>
  <si>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</si>
  <si>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</si>
  <si>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</si>
  <si>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</si>
  <si>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</si>
  <si>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</si>
  <si>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</si>
  <si>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</si>
  <si>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</si>
  <si>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</si>
  <si>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</si>
  <si>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</si>
  <si>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</si>
  <si>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</si>
  <si>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</si>
  <si>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</si>
  <si>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</si>
  <si>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</si>
  <si>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</si>
  <si>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</si>
  <si>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</si>
  <si>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</si>
  <si>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</si>
  <si>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</si>
  <si>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</si>
  <si>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</si>
  <si>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</si>
  <si>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</si>
  <si>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</si>
  <si>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</si>
  <si>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</si>
  <si>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</si>
  <si>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</si>
  <si>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</si>
  <si>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</si>
  <si>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</si>
  <si>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</si>
  <si>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</si>
  <si>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</si>
  <si>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</si>
  <si>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</si>
  <si>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</si>
  <si>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</si>
  <si>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</si>
  <si>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</si>
  <si>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</si>
  <si>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</si>
  <si>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</si>
  <si>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</si>
  <si>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</si>
  <si>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</si>
  <si>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</si>
  <si>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</si>
  <si>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</si>
  <si>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</si>
  <si>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</si>
  <si>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</si>
  <si>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</si>
  <si>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</si>
  <si>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</si>
  <si>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</si>
  <si>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</si>
  <si>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</si>
  <si>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</si>
  <si>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</si>
  <si>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</si>
  <si>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</si>
  <si>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</si>
  <si>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</si>
  <si>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</si>
  <si>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</si>
  <si>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</si>
  <si>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</si>
  <si>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</si>
  <si>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</si>
  <si>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</si>
  <si>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</si>
  <si>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</si>
  <si>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</si>
  <si>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</si>
  <si>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</si>
  <si>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</si>
  <si>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</si>
  <si>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</si>
  <si>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</si>
  <si>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</si>
  <si>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</si>
  <si>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</si>
  <si>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</si>
  <si>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</si>
  <si>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</si>
  <si>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</si>
  <si>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</si>
  <si>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</si>
  <si>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</si>
  <si>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</si>
  <si>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</si>
  <si>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</si>
  <si>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</si>
  <si>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</si>
  <si>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</si>
  <si>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</si>
  <si>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</si>
  <si>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</si>
  <si>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</si>
  <si>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</si>
  <si>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</si>
  <si>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</si>
  <si>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</si>
  <si>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</si>
  <si>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</si>
  <si>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</si>
  <si>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</si>
  <si>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</si>
  <si>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</si>
  <si>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</si>
  <si>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</si>
  <si>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</si>
  <si>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</si>
  <si>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</si>
  <si>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</si>
  <si>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</si>
  <si>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</si>
  <si>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</si>
  <si>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</si>
  <si>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</si>
  <si>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</si>
  <si>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</si>
  <si>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</si>
  <si>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</si>
  <si>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</si>
  <si>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</si>
  <si>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</si>
  <si>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</si>
  <si>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</si>
  <si>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</si>
  <si>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</si>
  <si>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</si>
  <si>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</si>
  <si>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</si>
  <si>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</si>
  <si>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</si>
  <si>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</si>
  <si>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</si>
  <si>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</si>
  <si>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</si>
  <si>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</si>
  <si>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</si>
  <si>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</si>
  <si>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</si>
  <si>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</si>
  <si>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</si>
  <si>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</si>
  <si>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</si>
  <si>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</si>
  <si>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</si>
  <si>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</si>
  <si>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</si>
  <si>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</si>
  <si>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</si>
  <si>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</si>
  <si>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</si>
  <si>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</si>
  <si>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</si>
  <si>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</si>
  <si>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</si>
  <si>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</si>
  <si>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</si>
  <si>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</si>
  <si>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</si>
  <si>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</si>
  <si>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</si>
  <si>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</si>
  <si>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</si>
  <si>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</si>
  <si>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</si>
  <si>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</si>
  <si>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</si>
  <si>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</si>
  <si>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</si>
  <si>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</si>
  <si>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</si>
  <si>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</si>
  <si>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</si>
  <si>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</si>
  <si>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</si>
  <si>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</si>
  <si>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</si>
  <si>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</si>
  <si>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</si>
  <si>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</si>
  <si>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</si>
  <si>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</si>
  <si>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</si>
  <si>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</si>
  <si>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</si>
  <si>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</si>
  <si>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</si>
  <si>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</si>
  <si>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</si>
  <si>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</si>
  <si>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</si>
  <si>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</si>
  <si>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</si>
  <si>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</si>
  <si>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</si>
  <si>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</si>
  <si>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</si>
  <si>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</si>
  <si>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</si>
  <si>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</si>
  <si>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</si>
  <si>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</si>
  <si>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</si>
  <si>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</si>
  <si>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</si>
  <si>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</si>
  <si>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</si>
  <si>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</si>
  <si>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</si>
  <si>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</si>
  <si>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</si>
  <si>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</si>
  <si>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</si>
  <si>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</si>
  <si>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</si>
  <si>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</si>
  <si>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</si>
  <si>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</si>
  <si>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</si>
  <si>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</si>
  <si>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</si>
  <si>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</si>
  <si>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</si>
  <si>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</si>
  <si>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</si>
  <si>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</si>
  <si>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</si>
  <si>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</si>
  <si>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</si>
  <si>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</si>
  <si>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</si>
  <si>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</si>
  <si>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</si>
  <si>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</si>
  <si>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</si>
  <si>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</si>
  <si>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</si>
  <si>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</si>
  <si>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</si>
  <si>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</si>
  <si>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</si>
  <si>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</si>
  <si>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</si>
  <si>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</si>
  <si>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</si>
  <si>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</si>
  <si>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</si>
  <si>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</si>
  <si>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</si>
  <si>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</si>
  <si>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</si>
  <si>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</si>
  <si>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</si>
  <si>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</si>
  <si>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</si>
  <si>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</si>
  <si>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</si>
  <si>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</si>
  <si>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</si>
  <si>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</si>
  <si>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</si>
  <si>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</si>
  <si>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</si>
  <si>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</si>
  <si>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</si>
  <si>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</si>
  <si>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</si>
  <si>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</si>
  <si>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</si>
  <si>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</si>
  <si>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</si>
  <si>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</si>
  <si>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</si>
  <si>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</si>
  <si>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</si>
  <si>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</si>
  <si>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</si>
  <si>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</si>
  <si>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</si>
  <si>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</si>
  <si>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</si>
  <si>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</si>
  <si>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</si>
  <si>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</si>
  <si>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</si>
  <si>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</si>
  <si>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</si>
  <si>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</si>
  <si>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</si>
  <si>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</si>
  <si>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</si>
  <si>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</si>
  <si>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</si>
  <si>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</si>
  <si>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</si>
  <si>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</si>
  <si>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</si>
  <si>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</si>
  <si>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</si>
  <si>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</si>
  <si>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</si>
  <si>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</si>
  <si>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</si>
  <si>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</si>
  <si>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</si>
  <si>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</si>
  <si>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</si>
  <si>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</si>
  <si>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</si>
  <si>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</si>
  <si>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</si>
  <si>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</si>
  <si>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</si>
  <si>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</si>
  <si>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</si>
  <si>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</si>
  <si>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</si>
  <si>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</si>
  <si>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</si>
  <si>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</si>
  <si>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</si>
  <si>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</si>
  <si>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</si>
  <si>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</si>
  <si>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</si>
  <si>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</si>
  <si>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</si>
  <si>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</si>
  <si>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</si>
  <si>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</si>
  <si>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</si>
  <si>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</si>
  <si>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</si>
  <si>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</si>
  <si>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</si>
  <si>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</si>
  <si>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</si>
  <si>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</si>
  <si>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</si>
  <si>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</si>
  <si>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</si>
  <si>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</si>
  <si>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</si>
  <si>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</si>
  <si>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</si>
  <si>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</si>
  <si>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</si>
  <si>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</si>
  <si>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</si>
  <si>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</si>
  <si>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</si>
  <si>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</si>
  <si>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</si>
  <si>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</si>
  <si>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</si>
  <si>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</si>
  <si>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</si>
  <si>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</si>
  <si>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</si>
  <si>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</si>
  <si>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</si>
  <si>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</si>
  <si>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</si>
  <si>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</si>
  <si>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</si>
  <si>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</si>
  <si>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</si>
  <si>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</si>
  <si>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</si>
  <si>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</si>
  <si>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</si>
  <si>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</si>
  <si>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</si>
  <si>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</si>
  <si>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</si>
  <si>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</si>
  <si>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</si>
  <si>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</si>
  <si>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</si>
  <si>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</si>
  <si>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</si>
  <si>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</si>
  <si>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</si>
  <si>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</si>
  <si>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</si>
  <si>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</si>
  <si>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</si>
  <si>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</si>
  <si>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</si>
  <si>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</si>
  <si>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</si>
  <si>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</si>
  <si>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</si>
  <si>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</si>
  <si>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</si>
  <si>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</si>
  <si>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</si>
  <si>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</si>
  <si>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</si>
  <si>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</si>
  <si>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</si>
  <si>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</si>
  <si>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</si>
  <si>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</si>
  <si>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</si>
  <si>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</si>
  <si>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</si>
  <si>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</si>
  <si>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</si>
  <si>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</si>
  <si>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</si>
  <si>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</si>
  <si>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</si>
  <si>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</si>
  <si>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</si>
  <si>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</si>
  <si>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</si>
  <si>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</si>
  <si>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</si>
  <si>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</si>
  <si>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</si>
  <si>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</si>
  <si>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</si>
  <si>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</si>
  <si>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</si>
  <si>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</si>
  <si>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</si>
  <si>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</si>
  <si>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</si>
  <si>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</si>
  <si>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</si>
  <si>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</si>
  <si>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</si>
  <si>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</si>
  <si>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</si>
  <si>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</si>
  <si>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</si>
  <si>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</si>
  <si>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</si>
  <si>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</si>
  <si>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</si>
  <si>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</si>
  <si>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</si>
  <si>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</si>
  <si>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</si>
  <si>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</si>
  <si>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</si>
  <si>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</si>
  <si>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</si>
  <si>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</si>
  <si>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</si>
  <si>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</si>
  <si>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</si>
  <si>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</si>
  <si>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</si>
  <si>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</si>
  <si>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</si>
  <si>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</si>
  <si>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</si>
  <si>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</si>
  <si>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</si>
  <si>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</si>
  <si>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</si>
  <si>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</si>
  <si>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</si>
  <si>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</si>
  <si>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</si>
  <si>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</si>
  <si>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</si>
  <si>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</si>
  <si>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</si>
  <si>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</si>
  <si>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</si>
  <si>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</si>
  <si>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</si>
  <si>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</si>
  <si>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</si>
  <si>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</si>
  <si>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</si>
  <si>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</si>
  <si>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</si>
  <si>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</si>
  <si>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</si>
  <si>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</si>
  <si>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</si>
  <si>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</si>
  <si>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</si>
  <si>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</si>
  <si>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</si>
  <si>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</si>
  <si>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</si>
  <si>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</si>
  <si>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</si>
  <si>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</si>
  <si>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</si>
  <si>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</si>
  <si>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</si>
  <si>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</si>
  <si>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</si>
  <si>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</si>
  <si>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</si>
  <si>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</si>
  <si>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</si>
  <si>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</si>
  <si>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</si>
  <si>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</si>
  <si>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</si>
  <si>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</si>
  <si>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</si>
  <si>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</si>
  <si>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</si>
  <si>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</si>
  <si>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</si>
  <si>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</si>
  <si>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</si>
  <si>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</si>
  <si>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Nurila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</si>
</sst>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68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42" fillId="4" borderId="126" xfId="0" applyFont="1" applyFill="1" applyBorder="1" applyAlignment="1" applyProtection="1">
      <alignment horizontal="center"/>
      <protection locked="0"/>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0" fontId="18" fillId="13" borderId="142" xfId="0" applyFont="1" applyFill="1" applyBorder="1" applyAlignment="1">
      <alignment horizontal="center" vertical="center" wrapText="1"/>
    </xf>
    <xf numFmtId="0" fontId="0" fillId="0" borderId="0" xfId="0"/>
    <xf numFmtId="0" fontId="0" fillId="0" borderId="9" xfId="0" applyBorder="1"/>
    <xf numFmtId="0" fontId="0" fillId="0" borderId="8" xfId="0" applyBorder="1"/>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0" fontId="0" fillId="0" borderId="43" xfId="0" applyBorder="1"/>
    <xf numFmtId="0" fontId="0" fillId="0" borderId="45" xfId="0" applyBorder="1"/>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14" fontId="13" fillId="28" borderId="45" xfId="0" applyNumberFormat="1" applyFont="1" applyFill="1" applyBorder="1" applyAlignment="1">
      <alignment horizontal="center" vertical="center" textRotation="2"/>
    </xf>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0" fontId="42" fillId="9" borderId="1" xfId="0" applyFont="1" applyFill="1" applyBorder="1" applyAlignment="1">
      <alignment horizontal="left" vertical="center" wrapText="1"/>
    </xf>
    <xf numFmtId="0" fontId="0" fillId="0" borderId="1" xfId="0" applyBorder="1"/>
    <xf numFmtId="0" fontId="42" fillId="0" borderId="0" xfId="0" applyFont="1"/>
    <xf numFmtId="14" fontId="74" fillId="3" borderId="0" xfId="0" quotePrefix="1" applyNumberFormat="1" applyFont="1" applyFill="1" applyAlignment="1" applyProtection="1">
      <alignment horizontal="center" vertical="center"/>
      <protection hidden="1"/>
    </xf>
    <xf numFmtId="0" fontId="79" fillId="13" borderId="21" xfId="0" applyFont="1" applyFill="1" applyBorder="1" applyAlignment="1">
      <alignment horizontal="center" vertical="top"/>
    </xf>
    <xf numFmtId="0" fontId="0" fillId="0" borderId="21" xfId="0" applyBorder="1"/>
    <xf numFmtId="0" fontId="41" fillId="8" borderId="1" xfId="0" applyFont="1" applyFill="1" applyBorder="1" applyAlignment="1">
      <alignment horizontal="left" vertical="center" wrapText="1"/>
    </xf>
    <xf numFmtId="14" fontId="72" fillId="35" borderId="0" xfId="0" quotePrefix="1" applyNumberFormat="1" applyFont="1" applyFill="1" applyAlignment="1" applyProtection="1">
      <alignment horizontal="center" vertical="top"/>
      <protection hidden="1"/>
    </xf>
    <xf numFmtId="0" fontId="69" fillId="37" borderId="0" xfId="0" applyFont="1" applyFill="1" applyAlignment="1" applyProtection="1">
      <alignment horizontal="center" vertical="center"/>
      <protection hidden="1"/>
    </xf>
    <xf numFmtId="0" fontId="72" fillId="3" borderId="0" xfId="0" applyFont="1" applyFill="1" applyAlignment="1" applyProtection="1">
      <alignment horizontal="center" vertical="center"/>
      <protection hidden="1"/>
    </xf>
    <xf numFmtId="14" fontId="75" fillId="3" borderId="0" xfId="0" quotePrefix="1" applyNumberFormat="1" applyFont="1" applyFill="1" applyAlignment="1" applyProtection="1">
      <alignment horizontal="center" vertical="center"/>
      <protection hidden="1"/>
    </xf>
    <xf numFmtId="0" fontId="41" fillId="9" borderId="0" xfId="0" applyFont="1" applyFill="1" applyAlignment="1">
      <alignment horizontal="left" vertical="center" wrapText="1"/>
    </xf>
    <xf numFmtId="0" fontId="41" fillId="41" borderId="4" xfId="0" applyFont="1" applyFill="1" applyBorder="1" applyAlignment="1">
      <alignment horizontal="left" vertical="center" wrapText="1"/>
    </xf>
    <xf numFmtId="0" fontId="0" fillId="0" borderId="4" xfId="0" applyBorder="1"/>
    <xf numFmtId="0" fontId="41" fillId="9" borderId="1" xfId="0" applyFont="1" applyFill="1" applyBorder="1" applyAlignment="1">
      <alignment horizontal="left" vertical="center" wrapText="1"/>
    </xf>
    <xf numFmtId="14" fontId="72" fillId="13" borderId="0" xfId="0" applyNumberFormat="1" applyFont="1" applyFill="1" applyAlignment="1" applyProtection="1">
      <alignment horizontal="center" vertical="center" textRotation="2"/>
      <protection hidden="1"/>
    </xf>
    <xf numFmtId="0" fontId="41" fillId="5" borderId="0" xfId="0" applyFont="1" applyFill="1" applyAlignment="1" applyProtection="1">
      <alignment horizontal="left" vertical="center" wrapText="1"/>
      <protection hidden="1"/>
    </xf>
    <xf numFmtId="14" fontId="72" fillId="36" borderId="0" xfId="0" quotePrefix="1" applyNumberFormat="1" applyFont="1" applyFill="1" applyAlignment="1" applyProtection="1">
      <alignment horizontal="center" vertical="top"/>
      <protection hidden="1"/>
    </xf>
    <xf numFmtId="0" fontId="41" fillId="9" borderId="19" xfId="0" applyFont="1" applyFill="1" applyBorder="1" applyAlignment="1">
      <alignment horizontal="left" vertical="center" wrapText="1"/>
    </xf>
    <xf numFmtId="0" fontId="0" fillId="0" borderId="19" xfId="0" applyBorder="1"/>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14" fontId="72" fillId="6" borderId="0" xfId="0" quotePrefix="1" applyNumberFormat="1" applyFont="1" applyFill="1" applyAlignment="1" applyProtection="1">
      <alignment horizontal="center" vertical="top" wrapText="1"/>
      <protection hidden="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89" customWidth="1"/>
    <col min="2" max="2" width="15.7109375" style="89" customWidth="1"/>
    <col min="3" max="3" width="26.7109375" style="89" customWidth="1"/>
    <col min="4" max="4" width="5.7109375" style="89" customWidth="1"/>
    <col min="5" max="9" width="11.28515625" style="105" customWidth="1"/>
    <col min="10" max="10" width="5.7109375" style="105" customWidth="1"/>
    <col min="11" max="11" width="26.7109375" style="105" customWidth="1"/>
    <col min="12" max="12" width="15.7109375" style="89" customWidth="1"/>
    <col min="13" max="13" width="10.42578125" style="89" customWidth="1"/>
    <col min="14" max="15" width="10.7109375" style="89" customWidth="1"/>
    <col min="16" max="16" width="12.140625" style="89" customWidth="1"/>
    <col min="17" max="17" width="6.140625" style="89" customWidth="1"/>
    <col min="18" max="31" width="10.7109375" style="89" customWidth="1"/>
    <col min="32" max="33" width="10.7109375" hidden="1" customWidth="1"/>
    <col min="34" max="16384" width="10.7109375" hidden="1"/>
  </cols>
  <sheetData>
    <row r="1" spans="1:3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row>
    <row r="2" spans="1:31">
      <c r="A2" s="88"/>
      <c r="B2" s="88"/>
      <c r="C2" s="90"/>
      <c r="D2" s="88"/>
      <c r="E2" s="91"/>
      <c r="F2" s="91"/>
      <c r="G2" s="91"/>
      <c r="H2" s="91"/>
      <c r="I2" s="91"/>
      <c r="J2" s="91"/>
      <c r="K2" s="91"/>
      <c r="L2" s="88"/>
      <c r="M2" s="88"/>
      <c r="N2" s="88"/>
      <c r="O2" s="88"/>
      <c r="P2" s="88"/>
      <c r="Q2" s="88"/>
      <c r="R2" s="88"/>
      <c r="S2" s="88"/>
      <c r="T2" s="88"/>
      <c r="U2" s="88"/>
      <c r="V2" s="88"/>
      <c r="W2" s="88"/>
      <c r="X2" s="88"/>
      <c r="Y2" s="88"/>
      <c r="Z2" s="88"/>
      <c r="AA2" s="88"/>
      <c r="AB2" s="88"/>
      <c r="AC2" s="88"/>
      <c r="AD2" s="88"/>
      <c r="AE2" s="88"/>
    </row>
    <row r="3" spans="1:31" ht="34.9" customHeight="1">
      <c r="A3" s="88"/>
      <c r="B3" s="371" t="str">
        <f>Idiomas!D8</f>
        <v>XXIII World Cup USA/MEX/CAN 2026</v>
      </c>
      <c r="C3" s="3"/>
      <c r="D3" s="3"/>
      <c r="E3" s="3"/>
      <c r="F3" s="3"/>
      <c r="G3" s="3"/>
      <c r="H3" s="3"/>
      <c r="I3" s="3"/>
      <c r="J3" s="3"/>
      <c r="K3" s="3"/>
      <c r="L3" s="3"/>
      <c r="M3" s="88"/>
      <c r="N3" s="88"/>
      <c r="O3" s="88"/>
      <c r="P3" s="88"/>
      <c r="Q3" s="88"/>
      <c r="R3" s="88"/>
      <c r="S3" s="88"/>
      <c r="T3" s="88"/>
      <c r="U3" s="88"/>
      <c r="V3" s="88"/>
      <c r="W3" s="88"/>
      <c r="X3" s="88"/>
      <c r="Y3" s="88"/>
      <c r="Z3" s="88"/>
      <c r="AA3" s="88"/>
      <c r="AB3" s="88"/>
      <c r="AC3" s="88"/>
      <c r="AD3" s="88"/>
      <c r="AE3" s="88"/>
    </row>
    <row r="4" spans="1:31" ht="15" customHeight="1">
      <c r="A4" s="88"/>
      <c r="B4" s="88"/>
      <c r="C4" s="88"/>
      <c r="D4" s="88"/>
      <c r="E4" s="91"/>
      <c r="F4" s="91"/>
      <c r="G4" s="91"/>
      <c r="H4" s="91"/>
      <c r="I4" s="91"/>
      <c r="J4" s="91"/>
      <c r="K4" s="91"/>
      <c r="L4" s="92"/>
      <c r="M4" s="88"/>
      <c r="N4" s="88"/>
      <c r="O4" s="88"/>
      <c r="P4" s="88"/>
      <c r="Q4" s="88"/>
      <c r="R4" s="88"/>
      <c r="S4" s="88"/>
      <c r="T4" s="88"/>
      <c r="U4" s="88"/>
      <c r="V4" s="88"/>
      <c r="W4" s="88"/>
      <c r="X4" s="88"/>
      <c r="Y4" s="88"/>
      <c r="Z4" s="88"/>
      <c r="AA4" s="88"/>
      <c r="AB4" s="88"/>
      <c r="AC4" s="88"/>
      <c r="AD4" s="88"/>
      <c r="AE4" s="88"/>
    </row>
    <row r="5" spans="1:31" ht="19.899999999999999" customHeight="1">
      <c r="A5" s="88"/>
      <c r="B5" s="88"/>
      <c r="C5" s="93" t="str">
        <f>"📋 "&amp;Idiomas!D7</f>
        <v>📋 Select languaje</v>
      </c>
      <c r="D5" s="88"/>
      <c r="E5" s="94"/>
      <c r="F5" s="94"/>
      <c r="G5" s="94"/>
      <c r="H5" s="94"/>
      <c r="I5" s="94"/>
      <c r="J5" s="94"/>
      <c r="K5" s="91"/>
      <c r="L5" s="95"/>
      <c r="M5" s="96"/>
      <c r="N5" s="96"/>
      <c r="O5" s="96"/>
      <c r="P5" s="88"/>
      <c r="Q5" s="88"/>
      <c r="R5" s="88"/>
      <c r="S5" s="88"/>
      <c r="T5" s="88"/>
      <c r="U5" s="88"/>
      <c r="V5" s="88"/>
      <c r="W5" s="88"/>
      <c r="X5" s="88"/>
      <c r="Y5" s="88"/>
      <c r="Z5" s="88"/>
      <c r="AA5" s="88"/>
      <c r="AB5" s="88"/>
      <c r="AC5" s="88"/>
      <c r="AD5" s="88"/>
      <c r="AE5" s="88"/>
    </row>
    <row r="6" spans="1:31" ht="25.15" customHeight="1">
      <c r="A6" s="88"/>
      <c r="B6" s="11"/>
      <c r="C6" s="82" t="s">
        <v>0</v>
      </c>
      <c r="D6" s="88"/>
      <c r="E6" s="91"/>
      <c r="F6" s="91"/>
      <c r="G6" s="91"/>
      <c r="H6" s="91"/>
      <c r="I6" s="91"/>
      <c r="J6" s="91"/>
      <c r="K6" s="91"/>
      <c r="L6" s="88"/>
      <c r="M6" s="88"/>
      <c r="N6" s="88"/>
      <c r="O6" s="88"/>
      <c r="P6" s="88"/>
      <c r="Q6" s="88"/>
      <c r="R6" s="88"/>
      <c r="S6" s="88"/>
      <c r="T6" s="88"/>
      <c r="U6" s="88"/>
      <c r="V6" s="88"/>
      <c r="W6" s="88"/>
      <c r="X6" s="88"/>
      <c r="Y6" s="88"/>
      <c r="Z6" s="88"/>
      <c r="AA6" s="88"/>
      <c r="AB6" s="88"/>
      <c r="AC6" s="88"/>
      <c r="AD6" s="88"/>
      <c r="AE6" s="88"/>
    </row>
    <row r="7" spans="1:31" ht="19.899999999999999" customHeight="1">
      <c r="A7" s="88"/>
      <c r="B7" s="97"/>
      <c r="C7" s="93" t="str">
        <f>"🕒 "&amp;Idiomas!D15</f>
        <v>🕒 Select timetable</v>
      </c>
      <c r="D7" s="88"/>
      <c r="E7" s="91"/>
      <c r="F7" s="91"/>
      <c r="G7" s="91"/>
      <c r="H7" s="91"/>
      <c r="I7" s="91"/>
      <c r="J7" s="91"/>
      <c r="K7" s="91"/>
      <c r="L7" s="88"/>
      <c r="M7" s="88"/>
      <c r="N7" s="88"/>
      <c r="O7" s="88"/>
      <c r="P7" s="88"/>
      <c r="Q7" s="88"/>
      <c r="R7" s="88"/>
      <c r="S7" s="88"/>
      <c r="T7" s="88"/>
      <c r="U7" s="88"/>
      <c r="V7" s="88"/>
      <c r="W7" s="88"/>
      <c r="X7" s="88"/>
      <c r="Y7" s="88"/>
      <c r="Z7" s="88"/>
      <c r="AA7" s="88"/>
      <c r="AB7" s="88"/>
      <c r="AC7" s="88"/>
      <c r="AD7" s="88"/>
      <c r="AE7" s="88"/>
    </row>
    <row r="8" spans="1:31" ht="25.15" customHeight="1">
      <c r="A8" s="88"/>
      <c r="B8" s="11"/>
      <c r="C8" s="82" t="s">
        <v>1</v>
      </c>
      <c r="D8" s="88"/>
      <c r="E8" s="91"/>
      <c r="F8" s="91"/>
      <c r="G8" s="91"/>
      <c r="H8" s="91"/>
      <c r="I8" s="91"/>
      <c r="J8" s="91"/>
      <c r="K8" s="91"/>
      <c r="L8" s="88"/>
      <c r="M8" s="88"/>
      <c r="N8" s="88"/>
      <c r="O8" s="88"/>
      <c r="P8" s="88"/>
      <c r="Q8" s="88"/>
      <c r="R8" s="88"/>
      <c r="S8" s="88"/>
      <c r="T8" s="88"/>
      <c r="U8" s="88"/>
      <c r="V8" s="88"/>
      <c r="W8" s="88"/>
      <c r="X8" s="88"/>
      <c r="Y8" s="88"/>
      <c r="Z8" s="88"/>
      <c r="AA8" s="88"/>
      <c r="AB8" s="88"/>
      <c r="AC8" s="88"/>
      <c r="AD8" s="88"/>
      <c r="AE8" s="88"/>
    </row>
    <row r="9" spans="1:31" ht="19.899999999999999" customHeight="1">
      <c r="A9" s="88"/>
      <c r="B9" s="97"/>
      <c r="D9" s="88"/>
      <c r="E9" s="91"/>
      <c r="F9" s="91"/>
      <c r="G9" s="91"/>
      <c r="H9" s="91"/>
      <c r="I9" s="91"/>
      <c r="J9" s="91"/>
      <c r="K9" s="91"/>
      <c r="L9" s="88"/>
      <c r="M9" s="88"/>
      <c r="N9" s="88"/>
      <c r="O9" s="88"/>
      <c r="P9" s="88"/>
      <c r="Q9" s="88"/>
      <c r="R9" s="88"/>
      <c r="S9" s="88"/>
      <c r="T9" s="88"/>
      <c r="U9" s="88"/>
      <c r="V9" s="88"/>
      <c r="W9" s="88"/>
      <c r="X9" s="88"/>
      <c r="Y9" s="88"/>
      <c r="Z9" s="88"/>
      <c r="AA9" s="88"/>
      <c r="AB9" s="88"/>
      <c r="AC9" s="88"/>
      <c r="AD9" s="88"/>
      <c r="AE9" s="88"/>
    </row>
    <row r="10" spans="1:31" ht="25.15" customHeight="1">
      <c r="A10" s="88"/>
      <c r="B10" s="11"/>
      <c r="D10" s="88"/>
      <c r="E10" s="91"/>
      <c r="F10" s="91"/>
      <c r="G10" s="91"/>
      <c r="H10" s="91"/>
      <c r="I10" s="91"/>
      <c r="J10" s="91"/>
      <c r="K10" s="91"/>
      <c r="L10" s="88"/>
      <c r="M10" s="88"/>
      <c r="N10" s="88"/>
      <c r="O10" s="88"/>
      <c r="P10" s="88"/>
      <c r="Q10" s="88"/>
      <c r="R10" s="88"/>
      <c r="S10" s="88"/>
      <c r="T10" s="88"/>
      <c r="U10" s="88"/>
      <c r="V10" s="88"/>
      <c r="W10" s="88"/>
      <c r="X10" s="88"/>
      <c r="Y10" s="88"/>
      <c r="Z10" s="88"/>
      <c r="AA10" s="88"/>
      <c r="AB10" s="88"/>
      <c r="AC10" s="88"/>
      <c r="AD10" s="88"/>
      <c r="AE10" s="88"/>
    </row>
    <row r="11" spans="1:31" ht="19.899999999999999" customHeight="1">
      <c r="A11" s="88"/>
      <c r="B11" s="88"/>
      <c r="C11" s="88"/>
      <c r="D11" s="88"/>
      <c r="E11" s="91"/>
      <c r="F11" s="91"/>
      <c r="G11" s="91"/>
      <c r="H11" s="91"/>
      <c r="I11" s="91"/>
      <c r="J11" s="91"/>
      <c r="K11" s="91"/>
      <c r="L11" s="88"/>
      <c r="M11" s="88"/>
      <c r="N11" s="88"/>
      <c r="O11" s="88"/>
      <c r="P11" s="88"/>
      <c r="Q11" s="88"/>
      <c r="R11" s="88"/>
      <c r="S11" s="88"/>
      <c r="T11" s="88"/>
      <c r="U11" s="88"/>
      <c r="V11" s="88"/>
      <c r="W11" s="88"/>
      <c r="X11" s="88"/>
      <c r="Y11" s="88"/>
      <c r="Z11" s="88"/>
      <c r="AA11" s="88"/>
      <c r="AB11" s="88"/>
      <c r="AC11" s="88"/>
      <c r="AD11" s="88"/>
      <c r="AE11" s="88"/>
    </row>
    <row r="12" spans="1:31" ht="25.15" customHeight="1">
      <c r="A12" s="88"/>
      <c r="B12" s="88"/>
      <c r="C12" s="88"/>
      <c r="D12" s="88"/>
      <c r="E12" s="91"/>
      <c r="F12" s="91"/>
      <c r="G12" s="91"/>
      <c r="H12" s="91"/>
      <c r="I12" s="91"/>
      <c r="J12" s="91"/>
      <c r="K12" s="91"/>
      <c r="L12" s="98"/>
      <c r="M12" s="88"/>
      <c r="N12" s="88"/>
      <c r="O12" s="88"/>
      <c r="P12" s="88"/>
      <c r="Q12" s="88"/>
      <c r="R12" s="88"/>
      <c r="S12" s="88"/>
      <c r="T12" s="88"/>
      <c r="U12" s="88"/>
      <c r="V12" s="88"/>
      <c r="W12" s="88"/>
      <c r="X12" s="88"/>
      <c r="Y12" s="88"/>
      <c r="Z12" s="88"/>
      <c r="AA12" s="88"/>
      <c r="AB12" s="88"/>
      <c r="AC12" s="88"/>
      <c r="AD12" s="88"/>
      <c r="AE12" s="88"/>
    </row>
    <row r="13" spans="1:31" ht="16.149999999999999" customHeight="1">
      <c r="A13" s="88"/>
      <c r="B13" s="88"/>
      <c r="C13" s="80"/>
      <c r="D13" s="88"/>
      <c r="E13" s="91"/>
      <c r="F13" s="91"/>
      <c r="G13" s="91"/>
      <c r="H13" s="91"/>
      <c r="I13" s="91"/>
      <c r="J13" s="91"/>
      <c r="K13" s="91"/>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10"/>
      <c r="C14" s="10"/>
      <c r="D14" s="88"/>
      <c r="E14" s="91"/>
      <c r="F14" s="91"/>
      <c r="G14" s="91"/>
      <c r="H14" s="91"/>
      <c r="I14" s="91"/>
      <c r="J14" s="91"/>
      <c r="K14" s="91"/>
      <c r="L14" s="99"/>
      <c r="M14" s="88"/>
      <c r="N14" s="88"/>
      <c r="O14" s="88"/>
      <c r="P14" s="88"/>
      <c r="Q14" s="88"/>
      <c r="R14" s="88"/>
      <c r="S14" s="88"/>
      <c r="T14" s="88"/>
      <c r="U14" s="88"/>
      <c r="V14" s="88"/>
      <c r="W14" s="88"/>
      <c r="X14" s="88"/>
      <c r="Y14" s="88"/>
      <c r="Z14" s="88"/>
      <c r="AA14" s="88"/>
      <c r="AB14" s="88"/>
      <c r="AC14" s="88"/>
      <c r="AD14" s="88"/>
      <c r="AE14" s="88"/>
    </row>
    <row r="15" spans="1:31" ht="15" customHeight="1">
      <c r="A15" s="88"/>
      <c r="B15" s="10"/>
      <c r="C15" s="10"/>
      <c r="D15" s="88"/>
      <c r="E15" s="91"/>
      <c r="F15" s="91"/>
      <c r="G15" s="91"/>
      <c r="H15" s="91"/>
      <c r="I15" s="91"/>
      <c r="J15" s="91"/>
      <c r="K15" s="91"/>
      <c r="L15" s="98"/>
      <c r="M15" s="88"/>
      <c r="N15" s="88"/>
      <c r="O15" s="88"/>
      <c r="P15" s="88"/>
      <c r="Q15" s="88"/>
      <c r="R15" s="88"/>
      <c r="S15" s="88"/>
      <c r="T15" s="88"/>
      <c r="U15" s="88"/>
      <c r="V15" s="88"/>
      <c r="W15" s="88"/>
      <c r="X15" s="88"/>
      <c r="Y15" s="88"/>
      <c r="Z15" s="88"/>
      <c r="AA15" s="88"/>
      <c r="AB15" s="88"/>
      <c r="AC15" s="88"/>
      <c r="AD15" s="88"/>
      <c r="AE15" s="88"/>
    </row>
    <row r="16" spans="1:31" ht="40.15" customHeight="1">
      <c r="A16" s="88"/>
      <c r="B16" s="88"/>
      <c r="C16" s="88"/>
      <c r="D16" s="88"/>
      <c r="E16" s="370"/>
      <c r="F16" s="370"/>
      <c r="G16" s="370"/>
      <c r="H16" s="370"/>
      <c r="I16" s="370"/>
      <c r="J16" s="370"/>
      <c r="K16" s="370"/>
      <c r="L16" s="88"/>
      <c r="M16" s="88"/>
      <c r="N16" s="88"/>
      <c r="O16" s="88"/>
      <c r="P16" s="88"/>
      <c r="Q16" s="88"/>
      <c r="R16" s="88"/>
      <c r="S16" s="88"/>
      <c r="T16" s="88"/>
      <c r="U16" s="88"/>
      <c r="V16" s="88"/>
      <c r="W16" s="88"/>
      <c r="X16" s="88"/>
      <c r="Y16" s="88"/>
      <c r="Z16" s="88"/>
      <c r="AA16" s="88"/>
      <c r="AB16" s="88"/>
      <c r="AC16" s="88"/>
      <c r="AD16" s="88"/>
      <c r="AE16" s="88"/>
    </row>
    <row r="17" spans="1:31" ht="40.15" customHeight="1">
      <c r="A17" s="88"/>
      <c r="B17" s="88"/>
      <c r="C17" s="88"/>
      <c r="D17" s="88"/>
      <c r="E17" s="88"/>
      <c r="F17" s="88"/>
      <c r="G17" s="88"/>
      <c r="H17" s="88"/>
      <c r="I17" s="88"/>
      <c r="J17" s="88"/>
      <c r="K17" s="88"/>
      <c r="L17" s="100"/>
      <c r="M17" s="88"/>
      <c r="N17" s="101"/>
      <c r="O17" s="102"/>
      <c r="P17" s="88"/>
      <c r="Q17" s="88"/>
      <c r="R17" s="88"/>
      <c r="S17" s="88"/>
      <c r="T17" s="88"/>
      <c r="U17" s="88"/>
      <c r="V17" s="88"/>
      <c r="W17" s="88"/>
      <c r="X17" s="88"/>
      <c r="Y17" s="88"/>
      <c r="Z17" s="88"/>
      <c r="AA17" s="88"/>
      <c r="AB17" s="88"/>
      <c r="AC17" s="88"/>
      <c r="AD17" s="88"/>
      <c r="AE17" s="88"/>
    </row>
    <row r="18" spans="1:31" ht="15" customHeight="1">
      <c r="A18" s="88"/>
      <c r="B18" s="88"/>
      <c r="C18" s="88"/>
      <c r="D18" s="88"/>
      <c r="E18" s="91"/>
      <c r="F18" s="91"/>
      <c r="G18" s="91"/>
      <c r="H18" s="91"/>
      <c r="I18" s="91"/>
      <c r="J18" s="91"/>
      <c r="K18" s="91"/>
      <c r="L18" s="88"/>
      <c r="M18" s="88"/>
      <c r="N18" s="88"/>
      <c r="O18" s="88"/>
      <c r="P18" s="88"/>
      <c r="Q18" s="88"/>
      <c r="R18" s="88"/>
      <c r="S18" s="88"/>
      <c r="T18" s="88"/>
      <c r="U18" s="88"/>
      <c r="V18" s="88"/>
      <c r="W18" s="88"/>
      <c r="X18" s="88"/>
      <c r="Y18" s="88"/>
      <c r="Z18" s="88"/>
      <c r="AA18" s="88"/>
      <c r="AB18" s="88"/>
      <c r="AC18" s="88"/>
      <c r="AD18" s="88"/>
      <c r="AE18" s="88"/>
    </row>
    <row r="19" spans="1:31">
      <c r="A19" s="88"/>
      <c r="B19" s="88"/>
      <c r="C19" s="88"/>
      <c r="D19" s="88"/>
      <c r="E19" s="91"/>
      <c r="F19" s="91"/>
      <c r="G19" s="91"/>
      <c r="H19" s="91"/>
      <c r="I19" s="91"/>
      <c r="J19" s="91"/>
      <c r="K19" s="91"/>
      <c r="L19" s="88"/>
      <c r="M19" s="88"/>
      <c r="N19" s="88"/>
      <c r="O19" s="88"/>
      <c r="P19" s="88"/>
      <c r="Q19" s="88"/>
      <c r="R19" s="88"/>
      <c r="S19" s="88"/>
      <c r="T19" s="88"/>
      <c r="U19" s="88"/>
      <c r="V19" s="88"/>
      <c r="W19" s="88"/>
      <c r="X19" s="88"/>
      <c r="Y19" s="88"/>
      <c r="Z19" s="88"/>
      <c r="AA19" s="88"/>
      <c r="AB19" s="88"/>
      <c r="AC19" s="88"/>
      <c r="AD19" s="88"/>
      <c r="AE19" s="88"/>
    </row>
    <row r="20" spans="1:31">
      <c r="A20" s="88"/>
      <c r="B20" s="88" t="s">
        <v>2</v>
      </c>
      <c r="C20" s="88"/>
      <c r="D20" s="88"/>
      <c r="E20" s="91"/>
      <c r="F20" s="91"/>
      <c r="G20" s="91"/>
      <c r="H20" s="91"/>
      <c r="I20" s="91"/>
      <c r="J20" s="91"/>
      <c r="K20" s="91"/>
      <c r="L20" s="88"/>
      <c r="M20" s="88"/>
      <c r="N20" s="88"/>
      <c r="O20" s="88"/>
      <c r="P20" s="88"/>
      <c r="Q20" s="88"/>
      <c r="R20" s="88"/>
      <c r="S20" s="88"/>
      <c r="T20" s="88"/>
      <c r="U20" s="88"/>
      <c r="V20" s="88"/>
      <c r="W20" s="88"/>
      <c r="X20" s="88"/>
      <c r="Y20" s="88"/>
      <c r="Z20" s="88"/>
      <c r="AA20" s="88"/>
      <c r="AB20" s="88"/>
      <c r="AC20" s="88"/>
      <c r="AD20" s="88"/>
      <c r="AE20" s="88"/>
    </row>
    <row r="21" spans="1:31" ht="15" customHeight="1">
      <c r="A21" s="88"/>
      <c r="B21" s="88" t="s">
        <v>2</v>
      </c>
      <c r="C21" s="88"/>
      <c r="D21" s="88"/>
      <c r="E21" s="103"/>
      <c r="F21" s="91"/>
      <c r="G21" s="91"/>
      <c r="H21" s="91"/>
      <c r="I21" s="91"/>
      <c r="J21" s="91"/>
      <c r="K21" s="91"/>
      <c r="L21" s="88"/>
      <c r="M21" s="88"/>
      <c r="N21" s="88"/>
      <c r="O21" s="98"/>
      <c r="P21" s="88"/>
      <c r="Q21" s="88"/>
      <c r="R21" s="88"/>
      <c r="S21" s="88"/>
      <c r="T21" s="88"/>
      <c r="U21" s="88"/>
      <c r="V21" s="88"/>
      <c r="W21" s="88"/>
      <c r="X21" s="88"/>
      <c r="Y21" s="88"/>
      <c r="Z21" s="88"/>
      <c r="AA21" s="88"/>
      <c r="AB21" s="88"/>
      <c r="AC21" s="88"/>
      <c r="AD21" s="88"/>
      <c r="AE21" s="88"/>
    </row>
    <row r="22" spans="1:31" ht="31.15" customHeight="1">
      <c r="A22" s="88"/>
      <c r="B22" s="88" t="s">
        <v>2</v>
      </c>
      <c r="C22" s="88"/>
      <c r="D22" s="88"/>
      <c r="E22" s="88"/>
      <c r="F22" s="88"/>
      <c r="G22" s="88"/>
      <c r="H22" s="88"/>
      <c r="I22" s="88"/>
      <c r="J22" s="91"/>
      <c r="K22" s="91"/>
      <c r="L22" s="88"/>
      <c r="M22" s="88"/>
      <c r="N22" s="88"/>
      <c r="O22" s="98"/>
      <c r="P22" s="88"/>
      <c r="Q22" s="88"/>
      <c r="R22" s="88"/>
      <c r="S22" s="88"/>
      <c r="T22" s="88"/>
      <c r="U22" s="88"/>
      <c r="V22" s="88"/>
      <c r="W22" s="88"/>
      <c r="X22" s="88"/>
      <c r="Y22" s="88"/>
      <c r="Z22" s="88"/>
      <c r="AA22" s="88"/>
      <c r="AB22" s="88"/>
      <c r="AC22" s="88"/>
      <c r="AD22" s="88"/>
      <c r="AE22" s="88"/>
    </row>
    <row r="23" spans="1:31" ht="19.899999999999999" customHeight="1">
      <c r="A23" s="88"/>
      <c r="B23" s="88" t="s">
        <v>2</v>
      </c>
      <c r="C23" s="88"/>
      <c r="D23" s="88"/>
      <c r="E23" s="91"/>
      <c r="F23" s="91"/>
      <c r="G23" s="91"/>
      <c r="H23" s="91"/>
      <c r="I23" s="91"/>
      <c r="J23" s="91"/>
      <c r="K23" s="91"/>
      <c r="L23" s="91"/>
      <c r="M23" s="91"/>
      <c r="N23" s="91"/>
      <c r="O23" s="91"/>
      <c r="P23" s="88"/>
      <c r="Q23" s="88"/>
      <c r="R23" s="88"/>
      <c r="S23" s="88"/>
      <c r="T23" s="88"/>
      <c r="U23" s="88"/>
      <c r="V23" s="88"/>
      <c r="W23" s="88"/>
      <c r="X23" s="88"/>
      <c r="Y23" s="88"/>
      <c r="Z23" s="88"/>
      <c r="AA23" s="88"/>
      <c r="AB23" s="88"/>
      <c r="AC23" s="88"/>
      <c r="AD23" s="88"/>
      <c r="AE23" s="88"/>
    </row>
    <row r="24" spans="1:31" ht="30" customHeight="1">
      <c r="A24" s="88"/>
      <c r="B24" s="640"/>
      <c r="C24" s="641"/>
      <c r="D24" s="88"/>
      <c r="E24" s="91"/>
      <c r="F24" s="91"/>
      <c r="G24" s="91"/>
      <c r="H24" s="104"/>
      <c r="I24" s="104"/>
      <c r="J24" s="91"/>
      <c r="K24" s="104"/>
      <c r="L24" s="98"/>
      <c r="M24" s="98"/>
      <c r="N24" s="98"/>
      <c r="O24" s="98"/>
      <c r="P24" s="88"/>
      <c r="Q24" s="88"/>
      <c r="R24" s="88"/>
      <c r="S24" s="88"/>
      <c r="T24" s="88"/>
      <c r="U24" s="88"/>
      <c r="V24" s="88"/>
      <c r="W24" s="88"/>
      <c r="X24" s="88"/>
      <c r="Y24" s="88"/>
      <c r="Z24" s="88"/>
      <c r="AA24" s="88"/>
      <c r="AB24" s="88"/>
      <c r="AC24" s="88"/>
      <c r="AD24" s="88"/>
      <c r="AE24" s="88"/>
    </row>
    <row r="25" spans="1:31">
      <c r="A25" s="88"/>
      <c r="B25" s="88"/>
      <c r="C25" s="88"/>
      <c r="D25" s="88"/>
      <c r="E25" s="91"/>
      <c r="F25" s="91"/>
      <c r="G25" s="91"/>
      <c r="H25" s="104"/>
      <c r="I25" s="104"/>
      <c r="J25" s="91"/>
      <c r="K25" s="104"/>
      <c r="L25" s="98"/>
      <c r="M25" s="98"/>
      <c r="N25" s="98"/>
      <c r="O25" s="98"/>
      <c r="P25" s="88"/>
      <c r="Q25" s="88"/>
      <c r="R25" s="88"/>
      <c r="S25" s="88"/>
      <c r="T25" s="88"/>
      <c r="U25" s="88"/>
      <c r="V25" s="88"/>
      <c r="W25" s="88"/>
      <c r="X25" s="88"/>
      <c r="Y25" s="88"/>
      <c r="Z25" s="88"/>
      <c r="AA25" s="88"/>
      <c r="AB25" s="88"/>
      <c r="AC25" s="88"/>
      <c r="AD25" s="88"/>
      <c r="AE25" s="88"/>
    </row>
    <row r="26" spans="1:31">
      <c r="A26" s="88"/>
      <c r="B26" s="88"/>
      <c r="C26" s="88"/>
      <c r="D26" s="88"/>
      <c r="E26" s="88"/>
      <c r="F26" s="88"/>
      <c r="G26" s="88"/>
      <c r="H26" s="88"/>
      <c r="I26" s="88"/>
      <c r="J26" s="91"/>
      <c r="K26" s="88"/>
      <c r="L26" s="88"/>
      <c r="M26" s="88"/>
      <c r="N26" s="88"/>
      <c r="O26" s="88"/>
      <c r="P26" s="88"/>
      <c r="Q26" s="88"/>
      <c r="R26" s="88"/>
      <c r="S26" s="88"/>
      <c r="T26" s="88"/>
      <c r="U26" s="88"/>
      <c r="V26" s="88"/>
      <c r="W26" s="88"/>
      <c r="X26" s="88"/>
      <c r="Y26" s="88"/>
      <c r="Z26" s="88"/>
      <c r="AA26" s="88"/>
      <c r="AB26" s="88"/>
      <c r="AC26" s="88"/>
      <c r="AD26" s="88"/>
      <c r="AE26" s="88"/>
    </row>
    <row r="27" spans="1:31">
      <c r="A27" s="88"/>
      <c r="B27" s="88"/>
      <c r="C27" s="88"/>
      <c r="D27" s="88"/>
      <c r="E27" s="88"/>
      <c r="F27" s="88"/>
      <c r="G27" s="88"/>
      <c r="H27" s="88"/>
      <c r="I27" s="88"/>
      <c r="J27" s="91"/>
      <c r="K27" s="88"/>
      <c r="L27" s="88"/>
      <c r="M27" s="88"/>
      <c r="N27" s="88"/>
      <c r="O27" s="88"/>
      <c r="P27" s="88"/>
      <c r="Q27" s="88"/>
      <c r="R27" s="88"/>
      <c r="S27" s="88"/>
      <c r="T27" s="88"/>
      <c r="U27" s="88"/>
      <c r="V27" s="88"/>
      <c r="W27" s="88"/>
      <c r="X27" s="88"/>
      <c r="Y27" s="88"/>
      <c r="Z27" s="88"/>
      <c r="AA27" s="88"/>
      <c r="AB27" s="88"/>
      <c r="AC27" s="88"/>
      <c r="AD27" s="88"/>
      <c r="AE27" s="88"/>
    </row>
    <row r="28" spans="1:31">
      <c r="A28" s="88"/>
      <c r="B28" s="88"/>
      <c r="C28" s="88"/>
      <c r="D28" s="88"/>
      <c r="E28" s="88"/>
      <c r="F28" s="88"/>
      <c r="G28" s="88"/>
      <c r="H28" s="88"/>
      <c r="I28" s="88"/>
      <c r="J28" s="91"/>
      <c r="K28" s="88"/>
      <c r="L28" s="88"/>
      <c r="M28" s="88"/>
      <c r="N28" s="88"/>
      <c r="O28" s="88"/>
      <c r="P28" s="88"/>
      <c r="Q28" s="88"/>
      <c r="R28" s="88"/>
      <c r="S28" s="88"/>
      <c r="T28" s="88"/>
      <c r="U28" s="88"/>
      <c r="V28" s="88"/>
      <c r="W28" s="88"/>
      <c r="X28" s="88"/>
      <c r="Y28" s="88"/>
      <c r="Z28" s="88"/>
      <c r="AA28" s="88"/>
      <c r="AB28" s="88"/>
      <c r="AC28" s="88"/>
      <c r="AD28" s="88"/>
      <c r="AE28" s="88"/>
    </row>
    <row r="29" spans="1:3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row>
    <row r="30" spans="1:3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row>
    <row r="31" spans="1: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row>
    <row r="32" spans="1:3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row>
    <row r="33" spans="1:3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row>
    <row r="34" spans="1:3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row>
    <row r="35" spans="1:3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row>
    <row r="36" spans="1:3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row>
    <row r="37" spans="1:3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row>
    <row r="38" spans="1:3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row>
    <row r="39" spans="1:3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row>
    <row r="40" spans="1:3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row>
    <row r="41" spans="1:3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row>
    <row r="42" spans="1:3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row>
    <row r="43" spans="1:3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row>
    <row r="44" spans="1:3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row>
    <row r="45" spans="1:3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row>
    <row r="46" spans="1:3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row>
    <row r="47" spans="1:3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row>
    <row r="48" spans="1:3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row>
    <row r="49" spans="1:3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1:3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zoomScale="115" zoomScaleNormal="115" workbookViewId="0">
      <selection activeCell="AM1" sqref="AM1:AR1"/>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73" customWidth="1"/>
    <col min="34" max="34" width="5.140625" style="574" customWidth="1"/>
    <col min="35" max="35" width="3.28515625" style="574"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75" customWidth="1"/>
    <col min="48" max="48" width="18.42578125" style="575" customWidth="1"/>
    <col min="49" max="50" width="3.42578125" style="576" customWidth="1"/>
    <col min="51" max="51" width="19.7109375" style="577" customWidth="1"/>
    <col min="52" max="52" width="15.7109375" style="576" customWidth="1"/>
  </cols>
  <sheetData>
    <row r="1" spans="1:121" ht="30" customHeight="1" thickBot="1">
      <c r="V1" s="372"/>
      <c r="W1" s="616" t="str">
        <f>Idiomas!D8</f>
        <v>XXIII World Cup USA/MEX/CAN 2026</v>
      </c>
      <c r="X1" s="600"/>
      <c r="Y1" s="600"/>
      <c r="Z1" s="600"/>
      <c r="AA1" s="600"/>
      <c r="AB1" s="600"/>
      <c r="AC1" s="600"/>
      <c r="AD1" s="600"/>
      <c r="AE1" s="600"/>
      <c r="AF1" s="600"/>
      <c r="AG1" s="373"/>
      <c r="AH1" s="374"/>
      <c r="AI1" s="374"/>
      <c r="AJ1" s="375"/>
      <c r="AK1" s="613" t="str">
        <f>"✍️ "&amp;Idiomas!D46</f>
        <v>✍️ Bracket Name</v>
      </c>
      <c r="AL1" s="614"/>
      <c r="AM1" s="622" t="s">
        <v>1512</v>
      </c>
      <c r="AN1" s="623"/>
      <c r="AO1" s="623"/>
      <c r="AP1" s="623"/>
      <c r="AQ1" s="623"/>
      <c r="AR1" s="624"/>
      <c r="AS1" s="376"/>
      <c r="AT1" s="376"/>
      <c r="AU1" s="377"/>
      <c r="AV1" s="376"/>
      <c r="AW1" s="376"/>
      <c r="AX1" s="376"/>
      <c r="AY1" s="376"/>
      <c r="AZ1" s="376"/>
      <c r="BA1" s="378"/>
      <c r="DN1" s="9" t="s">
        <v>3</v>
      </c>
    </row>
    <row r="2" spans="1:121" ht="26.45" customHeight="1" thickBot="1">
      <c r="V2" s="379"/>
      <c r="W2" s="380"/>
      <c r="X2" s="617" t="s">
        <v>4</v>
      </c>
      <c r="Y2" s="618"/>
      <c r="Z2" s="618"/>
      <c r="AA2" s="618"/>
      <c r="AB2" s="618"/>
      <c r="AC2" s="618"/>
      <c r="AD2" s="618"/>
      <c r="AE2" s="618"/>
      <c r="AF2" s="618"/>
      <c r="AG2" s="381"/>
      <c r="AH2" s="382"/>
      <c r="AI2" s="382"/>
      <c r="AJ2" s="383"/>
      <c r="AK2" s="383"/>
      <c r="AL2" s="383"/>
      <c r="AM2" s="383"/>
      <c r="AN2" s="383"/>
      <c r="AO2" s="383"/>
      <c r="AP2" s="383"/>
      <c r="AQ2" s="383"/>
      <c r="AR2" s="383"/>
      <c r="AS2" s="383"/>
      <c r="AT2" s="383"/>
      <c r="AU2" s="384"/>
      <c r="AV2" s="384"/>
      <c r="AW2" s="385"/>
      <c r="AX2" s="385"/>
      <c r="AY2" s="386"/>
      <c r="AZ2" s="387"/>
      <c r="BA2" s="378"/>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79"/>
      <c r="W3" s="388"/>
      <c r="X3" s="389" t="str">
        <f>Idiomas!D17</f>
        <v>Date</v>
      </c>
      <c r="Y3" s="389" t="str">
        <f>Idiomas!D18</f>
        <v>Hour</v>
      </c>
      <c r="Z3" s="390" t="str">
        <f>Idiomas!D19</f>
        <v>R</v>
      </c>
      <c r="AA3" s="391" t="str">
        <f>Idiomas!D20</f>
        <v>Home</v>
      </c>
      <c r="AB3" s="392"/>
      <c r="AC3" s="390" t="str">
        <f>Idiomas!D21</f>
        <v>Goals</v>
      </c>
      <c r="AD3" s="390" t="str">
        <f>Idiomas!D21</f>
        <v>Goals</v>
      </c>
      <c r="AE3" s="392"/>
      <c r="AF3" s="393" t="str">
        <f>Idiomas!D22</f>
        <v>Away</v>
      </c>
      <c r="AG3" s="381"/>
      <c r="AH3" s="382"/>
      <c r="AI3" s="382"/>
      <c r="AJ3" s="382" t="str">
        <f>Idiomas!D23</f>
        <v>Group</v>
      </c>
      <c r="AK3" s="394"/>
      <c r="AL3" s="395"/>
      <c r="AM3" s="395"/>
      <c r="AN3" s="395"/>
      <c r="AO3" s="395"/>
      <c r="AP3" s="395"/>
      <c r="AQ3" s="395"/>
      <c r="AR3" s="395"/>
      <c r="AS3" s="395"/>
      <c r="AT3" s="395"/>
      <c r="AU3" s="384"/>
      <c r="AV3" s="396" t="str">
        <f>Idiomas!D24</f>
        <v>IT'S A TIE! Choose the order of the countries to determine their rankings.</v>
      </c>
      <c r="AW3" s="29"/>
      <c r="AX3" s="396"/>
      <c r="AY3" s="396" t="str">
        <f>Idiomas!D72</f>
        <v>Are there penalized teams?</v>
      </c>
      <c r="AZ3" s="396" t="s">
        <v>18</v>
      </c>
      <c r="BA3" s="378"/>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79"/>
      <c r="W4" s="636" t="s">
        <v>20</v>
      </c>
      <c r="X4" s="397">
        <f>Horarios!C4</f>
        <v>46184.625</v>
      </c>
      <c r="Y4" s="398">
        <f>Horarios!C4</f>
        <v>46184.625</v>
      </c>
      <c r="Z4" s="399" t="str">
        <f>Idiomas!D61</f>
        <v>R1</v>
      </c>
      <c r="AA4" s="400" t="str">
        <f>+A5</f>
        <v>Mexico</v>
      </c>
      <c r="AB4" s="401" t="str">
        <f t="array" aca="1" ref="AB4" ca="1">Ver_flag_local</f>
        <v/>
      </c>
      <c r="AC4" s="15">
        <v>2</v>
      </c>
      <c r="AD4" s="16">
        <v>0</v>
      </c>
      <c r="AE4" s="402" t="str">
        <f t="array" aca="1" ref="AE4" ca="1">Ver_flag_visit</f>
        <v/>
      </c>
      <c r="AF4" s="403" t="str">
        <f>A6</f>
        <v>South Africa</v>
      </c>
      <c r="AG4" s="404">
        <f t="shared" ref="AG4:AG9" si="13">IF(NOT(OR(ISBLANK(AC4),ISBLANK(AD4))),1,0)</f>
        <v>1</v>
      </c>
      <c r="AH4" s="405">
        <v>1</v>
      </c>
      <c r="AI4" s="406"/>
      <c r="AJ4" s="407" t="str">
        <f>CONCATENATE(AJ3," ",B4)</f>
        <v>Group A</v>
      </c>
      <c r="AK4" s="408"/>
      <c r="AL4" s="408"/>
      <c r="AM4" s="408"/>
      <c r="AN4" s="408"/>
      <c r="AO4" s="408"/>
      <c r="AP4" s="408"/>
      <c r="AQ4" s="408"/>
      <c r="AR4" s="408"/>
      <c r="AS4" s="408"/>
      <c r="AT4" s="409"/>
      <c r="AU4" s="384"/>
      <c r="AV4" s="410" t="str">
        <f>IF(AU5&gt;0,$AV$3,"")</f>
        <v/>
      </c>
      <c r="AW4" s="411"/>
      <c r="AX4" s="396"/>
      <c r="AY4" s="396"/>
      <c r="AZ4" s="396"/>
      <c r="BA4" s="378"/>
      <c r="DC4" s="9" t="s">
        <v>21</v>
      </c>
    </row>
    <row r="5" spans="1:121" ht="16.149999999999999" customHeight="1">
      <c r="A5" s="8" t="str">
        <f>+Equipos!B2</f>
        <v>Mexico</v>
      </c>
      <c r="D5" s="8" t="str">
        <f t="shared" si="0"/>
        <v>Visitante</v>
      </c>
      <c r="E5" s="8" t="str">
        <f t="shared" si="1"/>
        <v>-</v>
      </c>
      <c r="F5" s="8" t="str">
        <f t="shared" si="2"/>
        <v>-</v>
      </c>
      <c r="H5" s="8" t="str">
        <f t="shared" si="3"/>
        <v>-</v>
      </c>
      <c r="I5" s="8" t="str">
        <f t="shared" si="4"/>
        <v>-</v>
      </c>
      <c r="K5" s="8" t="str">
        <f t="shared" si="5"/>
        <v>-</v>
      </c>
      <c r="L5" s="8" t="str">
        <f t="shared" si="6"/>
        <v>-</v>
      </c>
      <c r="N5" s="8" t="str">
        <f t="shared" si="7"/>
        <v>-</v>
      </c>
      <c r="O5" s="8" t="str">
        <f t="shared" si="8"/>
        <v>-</v>
      </c>
      <c r="Q5" s="8" t="str">
        <f t="shared" si="9"/>
        <v>-</v>
      </c>
      <c r="R5" s="8" t="str">
        <f t="shared" si="10"/>
        <v>-</v>
      </c>
      <c r="T5" s="8" t="str">
        <f t="shared" si="11"/>
        <v>-</v>
      </c>
      <c r="U5" s="8" t="str">
        <f t="shared" si="12"/>
        <v>-</v>
      </c>
      <c r="V5" s="379"/>
      <c r="W5" s="607"/>
      <c r="X5" s="397">
        <f>Horarios!C5</f>
        <v>46184.916666666657</v>
      </c>
      <c r="Y5" s="398">
        <f>Horarios!C5</f>
        <v>46184.916666666657</v>
      </c>
      <c r="Z5" s="399" t="str">
        <f>$Z$4</f>
        <v>R1</v>
      </c>
      <c r="AA5" s="400" t="str">
        <f>A7</f>
        <v>South Korea</v>
      </c>
      <c r="AB5" s="401" t="str">
        <f t="array" aca="1" ref="AB5" ca="1">Ver_flag_local</f>
        <v/>
      </c>
      <c r="AC5" s="15">
        <v>0</v>
      </c>
      <c r="AD5" s="16">
        <v>1</v>
      </c>
      <c r="AE5" s="402" t="str">
        <f t="array" aca="1" ref="AE5" ca="1">Ver_flag_visit</f>
        <v/>
      </c>
      <c r="AF5" s="403" t="str">
        <f>A8</f>
        <v>Czech Republic</v>
      </c>
      <c r="AG5" s="404">
        <f t="shared" si="13"/>
        <v>1</v>
      </c>
      <c r="AH5" s="405">
        <v>2</v>
      </c>
      <c r="AI5" s="406"/>
      <c r="AJ5" s="412" t="str">
        <f>Idiomas!D51</f>
        <v>Pos</v>
      </c>
      <c r="AK5" s="413"/>
      <c r="AL5" s="414" t="str">
        <f>Idiomas!D52</f>
        <v>Nation</v>
      </c>
      <c r="AM5" s="413" t="str">
        <f>Idiomas!D53</f>
        <v>Pts</v>
      </c>
      <c r="AN5" s="413" t="str">
        <f>Idiomas!D54</f>
        <v>P</v>
      </c>
      <c r="AO5" s="413" t="str">
        <f>Idiomas!D55</f>
        <v>W</v>
      </c>
      <c r="AP5" s="413" t="str">
        <f>Idiomas!D56</f>
        <v>D</v>
      </c>
      <c r="AQ5" s="413" t="str">
        <f>Idiomas!D57</f>
        <v>L</v>
      </c>
      <c r="AR5" s="413" t="str">
        <f>Idiomas!D58</f>
        <v>F</v>
      </c>
      <c r="AS5" s="413" t="str">
        <f>Idiomas!D59</f>
        <v>A</v>
      </c>
      <c r="AT5" s="415" t="str">
        <f>Idiomas!D60</f>
        <v>GD</v>
      </c>
      <c r="AU5" s="384">
        <f>COUNTIF(AU6:AU9,"&gt;1")</f>
        <v>0</v>
      </c>
      <c r="AV5" s="416"/>
      <c r="AW5" s="411"/>
      <c r="AX5" s="396"/>
      <c r="AY5" s="396" t="str">
        <f>AL5</f>
        <v>Nation</v>
      </c>
      <c r="AZ5" s="396" t="str">
        <f>+Idiomas!$D$67</f>
        <v>Deducted Points</v>
      </c>
      <c r="BA5" s="378"/>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79"/>
      <c r="W6" s="607"/>
      <c r="X6" s="397">
        <f>Horarios!C6</f>
        <v>46191.5</v>
      </c>
      <c r="Y6" s="398">
        <f>Horarios!C6</f>
        <v>46191.5</v>
      </c>
      <c r="Z6" s="399" t="str">
        <f>Idiomas!D62</f>
        <v>R2</v>
      </c>
      <c r="AA6" s="400" t="str">
        <f>A8</f>
        <v>Czech Republic</v>
      </c>
      <c r="AB6" s="401" t="str">
        <f t="array" aca="1" ref="AB6" ca="1">Ver_flag_local</f>
        <v/>
      </c>
      <c r="AC6" s="15">
        <v>2</v>
      </c>
      <c r="AD6" s="16">
        <v>0</v>
      </c>
      <c r="AE6" s="402" t="str">
        <f t="array" aca="1" ref="AE6" ca="1">Ver_flag_visit</f>
        <v/>
      </c>
      <c r="AF6" s="403" t="str">
        <f>A6</f>
        <v>South Africa</v>
      </c>
      <c r="AG6" s="404">
        <f t="shared" si="13"/>
        <v>1</v>
      </c>
      <c r="AH6" s="405">
        <v>25</v>
      </c>
      <c r="AI6" s="406" t="str">
        <f>AJ6&amp;$B$4</f>
        <v>1A</v>
      </c>
      <c r="AJ6" s="419">
        <v>1</v>
      </c>
      <c r="AK6" s="420" t="str">
        <f t="array" aca="1" ref="AK6" ca="1">Ver_flag_visit</f>
        <v/>
      </c>
      <c r="AL6" s="421" t="str">
        <f>IFERROR(INDEX($BD$6:$BD$53,MATCH(AI6,$BN$6:$BN$53,0)),"")</f>
        <v>Czech Republic</v>
      </c>
      <c r="AM6" s="422">
        <f t="shared" ref="AM6:AT9" si="15">INDEX($BE$6:$BN$53,MATCH($AL6,$BD$6:$BD$53,0),MATCH(AM$5,$BE$5:$BN$5,0))</f>
        <v>9</v>
      </c>
      <c r="AN6" s="423">
        <f t="shared" si="15"/>
        <v>3</v>
      </c>
      <c r="AO6" s="423">
        <f t="shared" si="15"/>
        <v>3</v>
      </c>
      <c r="AP6" s="423">
        <f t="shared" si="15"/>
        <v>0</v>
      </c>
      <c r="AQ6" s="423">
        <f t="shared" si="15"/>
        <v>0</v>
      </c>
      <c r="AR6" s="423">
        <f t="shared" si="15"/>
        <v>5</v>
      </c>
      <c r="AS6" s="423">
        <f t="shared" si="15"/>
        <v>0</v>
      </c>
      <c r="AT6" s="424">
        <f t="shared" si="15"/>
        <v>5</v>
      </c>
      <c r="AU6" s="425">
        <f>INDEX($DL$6:$DL$53,MATCH(AI6,$DP$6:$DP$53,0))</f>
        <v>1</v>
      </c>
      <c r="AV6" s="426" t="str">
        <f>INDEX($BD$6:$BD$53,MATCH(AI6,$BM$6:$BM$53,0))</f>
        <v>Czech Republic</v>
      </c>
      <c r="AW6" s="579"/>
      <c r="AX6" s="396"/>
      <c r="AY6" s="396" t="str">
        <f>+A5</f>
        <v>Mexico</v>
      </c>
      <c r="AZ6" s="396"/>
      <c r="BA6" s="378"/>
      <c r="BC6" s="9" t="str">
        <f>+INDEX(T_Equipos[Grupo],MATCH(WORLDCUP!BD6,T_Equipos[NombreEquipo],0))</f>
        <v>A</v>
      </c>
      <c r="BD6" s="9" t="str">
        <f>+Equipos!B2</f>
        <v>Mexico</v>
      </c>
      <c r="BE6" s="9">
        <f t="shared" ref="BE6:BE53" si="16">+BG6*3+BH6+IF($AZ$3="No",0,INDEX($AZ$6:$AZ$97,MATCH(BD6,$AY$6:$AY$97,0)))</f>
        <v>3</v>
      </c>
      <c r="BF6" s="9">
        <f t="shared" ref="BF6:BF53" si="17">+BG6+BH6+BI6</f>
        <v>3</v>
      </c>
      <c r="BG6" s="9">
        <f t="shared" ref="BG6:BG53" si="18">+COUNTIFS(FGLocal,BD6,Ganador,"Local")+COUNTIFS(FGVisitante,BD6,Ganador,"Visitante")</f>
        <v>1</v>
      </c>
      <c r="BH6" s="9">
        <f t="shared" ref="BH6:BH53" si="19">+COUNTIFS(FGLocal,BD6,Ganador,"Empate")+COUNTIFS(FGVisitante,BD6,Ganador,"Empate")</f>
        <v>0</v>
      </c>
      <c r="BI6" s="9">
        <f t="shared" ref="BI6:BI53" si="20">+COUNTIFS(FGVisitante,BD6,Ganador,"Local")+COUNTIFS(FGLocal,BD6,Ganador,"Visitante")</f>
        <v>2</v>
      </c>
      <c r="BJ6" s="9">
        <f t="shared" ref="BJ6:BJ53" si="21">+SUMIFS(FG_GolesLocal,FGLocal,BD6,Ganador,"&lt;&gt;"&amp;"Pendiente",FG_GolesLocal,"&lt;&gt;"&amp;"",FG_GolesVisitante,"&lt;&gt;"&amp;"")+SUMIFS(FG_GolesVisitante,FGVisitante,BD6,Ganador,"&lt;&gt;"&amp;"Pendiente",FG_GolesLocal,"&lt;&gt;"&amp;"",FG_GolesVisitante,"&lt;&gt;"&amp;"")</f>
        <v>2</v>
      </c>
      <c r="BK6" s="9">
        <f t="shared" ref="BK6:BK53" si="22">+SUMIFS(FG_GolesLocal,FGVisitante,BD6,Ganador,"&lt;&gt;"&amp;"Pendiente",FG_GolesLocal,"&lt;&gt;"&amp;"",FG_GolesVisitante,"&lt;&gt;"&amp;"")+SUMIFS(FG_GolesVisitante,FGLocal,BD6,Ganador,"&lt;&gt;"&amp;"Pendiente",FG_GolesLocal,"&lt;&gt;"&amp;"",FG_GolesVisitante,"&lt;&gt;"&amp;"")</f>
        <v>3</v>
      </c>
      <c r="BL6" s="9">
        <f t="shared" ref="BL6:BL53" si="23">+BJ6-BK6</f>
        <v>-1</v>
      </c>
      <c r="BM6" s="9" t="str">
        <f t="shared" ref="BM6:BM53" si="24">DD6&amp;BC6</f>
        <v>3A</v>
      </c>
      <c r="BN6" s="9" t="str">
        <f t="shared" ref="BN6:BN53" si="25">DH6&amp;BC6</f>
        <v>3A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3</v>
      </c>
      <c r="BS6" s="9">
        <f>BP6+COUNTIFS($BQ$6:$BQ$53,BQ6,$BR$6:BR$53,"&gt;"&amp;BR6,$BC$6:$BC$53,INDEX(T_Equipos[Grupo],MATCH(BD6,T_Equipos[NombreEquipo],0)))</f>
        <v>3</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3</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3</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3</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3</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3</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3</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3</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3</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3</v>
      </c>
      <c r="DE6" s="9"/>
      <c r="DF6" s="9">
        <f t="shared" ref="DF6:DF53" si="46">IF(OR(INDEX($AW$6:$AW$97,MATCH($BD6,$AV$6:$AV$97,0))="",DB6="-"),DD6,INDEX($AW$6:$AW$97,MATCH($BD6,$AV$6:$AV$97,0))+DD6/1000)</f>
        <v>3</v>
      </c>
      <c r="DG6" s="9" t="str">
        <f>IF(DB6="-","-",COUNTIFS(DF$6:DF$53,"&lt;"&amp;DF6,$BC$6:$BC$53,INDEX(T_Equipos[Grupo],MATCH(BD6,T_Equipos[NombreEquipo],0))))</f>
        <v>-</v>
      </c>
      <c r="DH6" s="9">
        <f>DA6+COUNTIFS(DB$6:DB$53,DB6,DG$6:DG$53,"&lt;"&amp;DG6,$BC$6:$BC$53,INDEX(T_Equipos[Grupo],MATCH(BD6,T_Equipos[NombreEquipo],0)))</f>
        <v>3</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Czech Republic</v>
      </c>
    </row>
    <row r="7" spans="1:121" ht="16.149999999999999" customHeight="1">
      <c r="A7" s="8" t="str">
        <f>+Equipos!B4</f>
        <v>South Korea</v>
      </c>
      <c r="D7" s="8" t="str">
        <f t="shared" si="0"/>
        <v>Visitante</v>
      </c>
      <c r="E7" s="8" t="str">
        <f t="shared" si="1"/>
        <v>-</v>
      </c>
      <c r="F7" s="8" t="str">
        <f t="shared" si="2"/>
        <v>-</v>
      </c>
      <c r="H7" s="8" t="str">
        <f t="shared" si="3"/>
        <v>-</v>
      </c>
      <c r="I7" s="8" t="str">
        <f t="shared" si="4"/>
        <v>-</v>
      </c>
      <c r="K7" s="8" t="str">
        <f t="shared" si="5"/>
        <v>-</v>
      </c>
      <c r="L7" s="8" t="str">
        <f t="shared" si="6"/>
        <v>-</v>
      </c>
      <c r="N7" s="8" t="str">
        <f t="shared" si="7"/>
        <v>-</v>
      </c>
      <c r="O7" s="8" t="str">
        <f t="shared" si="8"/>
        <v>-</v>
      </c>
      <c r="Q7" s="8" t="str">
        <f t="shared" si="9"/>
        <v>-</v>
      </c>
      <c r="R7" s="8" t="str">
        <f t="shared" si="10"/>
        <v>-</v>
      </c>
      <c r="T7" s="8" t="str">
        <f t="shared" si="11"/>
        <v>-</v>
      </c>
      <c r="U7" s="8" t="str">
        <f t="shared" si="12"/>
        <v>-</v>
      </c>
      <c r="V7" s="379"/>
      <c r="W7" s="607"/>
      <c r="X7" s="397">
        <f>Horarios!C7</f>
        <v>46191.875</v>
      </c>
      <c r="Y7" s="398">
        <f>Horarios!C7</f>
        <v>46191.875</v>
      </c>
      <c r="Z7" s="399" t="str">
        <f>$Z$6</f>
        <v>R2</v>
      </c>
      <c r="AA7" s="400" t="str">
        <f>A5</f>
        <v>Mexico</v>
      </c>
      <c r="AB7" s="401" t="str">
        <f t="array" aca="1" ref="AB7" ca="1">Ver_flag_local</f>
        <v/>
      </c>
      <c r="AC7" s="15">
        <v>0</v>
      </c>
      <c r="AD7" s="16">
        <v>1</v>
      </c>
      <c r="AE7" s="402" t="str">
        <f t="array" aca="1" ref="AE7" ca="1">Ver_flag_visit</f>
        <v/>
      </c>
      <c r="AF7" s="403" t="str">
        <f>A7</f>
        <v>South Korea</v>
      </c>
      <c r="AG7" s="404">
        <f t="shared" si="13"/>
        <v>1</v>
      </c>
      <c r="AH7" s="405">
        <v>28</v>
      </c>
      <c r="AI7" s="406" t="str">
        <f>AJ7&amp;$B$4</f>
        <v>2A</v>
      </c>
      <c r="AJ7" s="431">
        <v>2</v>
      </c>
      <c r="AK7" s="432" t="str">
        <f t="array" aca="1" ref="AK7" ca="1">Ver_flag_visit</f>
        <v/>
      </c>
      <c r="AL7" s="433" t="str">
        <f>IFERROR(INDEX($BD$6:$BD$53,MATCH(AI7,$BN$6:$BN$53,0)),"")</f>
        <v>South Korea</v>
      </c>
      <c r="AM7" s="434">
        <f t="shared" si="15"/>
        <v>6</v>
      </c>
      <c r="AN7" s="435">
        <f t="shared" si="15"/>
        <v>3</v>
      </c>
      <c r="AO7" s="435">
        <f t="shared" si="15"/>
        <v>2</v>
      </c>
      <c r="AP7" s="435">
        <f t="shared" si="15"/>
        <v>0</v>
      </c>
      <c r="AQ7" s="435">
        <f t="shared" si="15"/>
        <v>1</v>
      </c>
      <c r="AR7" s="435">
        <f t="shared" si="15"/>
        <v>3</v>
      </c>
      <c r="AS7" s="435">
        <f t="shared" si="15"/>
        <v>1</v>
      </c>
      <c r="AT7" s="436">
        <f t="shared" si="15"/>
        <v>2</v>
      </c>
      <c r="AU7" s="425">
        <f>INDEX($DL$6:$DL$53,MATCH(AI7,$DP$6:$DP$53,0))</f>
        <v>1</v>
      </c>
      <c r="AV7" s="426" t="str">
        <f>INDEX($BD$6:$BD$53,MATCH(AI7,$BM$6:$BM$53,0))</f>
        <v>South Korea</v>
      </c>
      <c r="AW7" s="579"/>
      <c r="AX7" s="396"/>
      <c r="AY7" s="396" t="str">
        <f>+A6</f>
        <v>South Africa</v>
      </c>
      <c r="AZ7" s="396"/>
      <c r="BA7" s="378"/>
      <c r="BC7" s="9" t="str">
        <f>+INDEX(T_Equipos[Grupo],MATCH(WORLDCUP!BD7,T_Equipos[NombreEquipo],0))</f>
        <v>A</v>
      </c>
      <c r="BD7" s="9" t="str">
        <f>+Equipos!B3</f>
        <v>South Africa</v>
      </c>
      <c r="BE7" s="9">
        <f t="shared" si="16"/>
        <v>0</v>
      </c>
      <c r="BF7" s="9">
        <f t="shared" si="17"/>
        <v>3</v>
      </c>
      <c r="BG7" s="9">
        <f t="shared" si="18"/>
        <v>0</v>
      </c>
      <c r="BH7" s="9">
        <f t="shared" si="19"/>
        <v>0</v>
      </c>
      <c r="BI7" s="9">
        <f t="shared" si="20"/>
        <v>3</v>
      </c>
      <c r="BJ7" s="9">
        <f t="shared" si="21"/>
        <v>0</v>
      </c>
      <c r="BK7" s="9">
        <f t="shared" si="22"/>
        <v>6</v>
      </c>
      <c r="BL7" s="9">
        <f t="shared" si="23"/>
        <v>-6</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0</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2</v>
      </c>
      <c r="DK7" s="9">
        <f t="shared" si="48"/>
        <v>12</v>
      </c>
      <c r="DL7" s="9">
        <f t="shared" si="49"/>
        <v>1</v>
      </c>
      <c r="DM7" s="9" t="str">
        <f t="shared" si="50"/>
        <v>2.1</v>
      </c>
      <c r="DN7" s="9">
        <f t="array" aca="1" ref="DN7" ca="1">OFFSET(Horarios!$P$3,DJ7-1,0,DL7,1)</f>
        <v>2</v>
      </c>
      <c r="DO7" s="9"/>
      <c r="DP7" s="9" t="s">
        <v>75</v>
      </c>
      <c r="DQ7" s="9" t="str">
        <f t="shared" si="51"/>
        <v>South Korea</v>
      </c>
    </row>
    <row r="8" spans="1:121" ht="16.149999999999999" customHeight="1">
      <c r="A8" s="8" t="str">
        <f>+Equipos!B5</f>
        <v>Czech Republic</v>
      </c>
      <c r="D8" s="8" t="str">
        <f t="shared" si="0"/>
        <v>Local</v>
      </c>
      <c r="E8" s="8" t="str">
        <f t="shared" si="1"/>
        <v>-</v>
      </c>
      <c r="F8" s="8" t="str">
        <f t="shared" si="2"/>
        <v>-</v>
      </c>
      <c r="H8" s="8" t="str">
        <f t="shared" si="3"/>
        <v>-</v>
      </c>
      <c r="I8" s="8" t="str">
        <f t="shared" si="4"/>
        <v>-</v>
      </c>
      <c r="K8" s="8" t="str">
        <f t="shared" si="5"/>
        <v>-</v>
      </c>
      <c r="L8" s="8" t="str">
        <f t="shared" si="6"/>
        <v>-</v>
      </c>
      <c r="N8" s="8" t="str">
        <f t="shared" si="7"/>
        <v>-</v>
      </c>
      <c r="O8" s="8" t="str">
        <f t="shared" si="8"/>
        <v>-</v>
      </c>
      <c r="Q8" s="8" t="str">
        <f t="shared" si="9"/>
        <v>-</v>
      </c>
      <c r="R8" s="8" t="str">
        <f t="shared" si="10"/>
        <v>-</v>
      </c>
      <c r="T8" s="8" t="str">
        <f t="shared" si="11"/>
        <v>-</v>
      </c>
      <c r="U8" s="8" t="str">
        <f t="shared" si="12"/>
        <v>-</v>
      </c>
      <c r="V8" s="379"/>
      <c r="W8" s="607"/>
      <c r="X8" s="397">
        <f>Horarios!C8</f>
        <v>46197.875</v>
      </c>
      <c r="Y8" s="398">
        <f>Horarios!C8</f>
        <v>46197.875</v>
      </c>
      <c r="Z8" s="399" t="str">
        <f>Idiomas!D63</f>
        <v>R3</v>
      </c>
      <c r="AA8" s="400" t="str">
        <f>A8</f>
        <v>Czech Republic</v>
      </c>
      <c r="AB8" s="401" t="str">
        <f t="array" aca="1" ref="AB8" ca="1">Ver_flag_local</f>
        <v/>
      </c>
      <c r="AC8" s="15">
        <v>2</v>
      </c>
      <c r="AD8" s="16">
        <v>0</v>
      </c>
      <c r="AE8" s="402" t="str">
        <f t="array" aca="1" ref="AE8" ca="1">Ver_flag_visit</f>
        <v/>
      </c>
      <c r="AF8" s="403" t="str">
        <f>A5</f>
        <v>Mexico</v>
      </c>
      <c r="AG8" s="404">
        <f t="shared" si="13"/>
        <v>1</v>
      </c>
      <c r="AH8" s="405">
        <v>53</v>
      </c>
      <c r="AI8" s="406" t="str">
        <f>AJ8&amp;$B$4</f>
        <v>3A</v>
      </c>
      <c r="AJ8" s="431">
        <v>3</v>
      </c>
      <c r="AK8" s="432" t="str">
        <f t="array" aca="1" ref="AK8" ca="1">Ver_flag_visit</f>
        <v/>
      </c>
      <c r="AL8" s="433" t="str">
        <f>IFERROR(INDEX($BD$6:$BD$53,MATCH(AI8,$BN$6:$BN$53,0)),"")</f>
        <v>Mexico</v>
      </c>
      <c r="AM8" s="434">
        <f t="shared" si="15"/>
        <v>3</v>
      </c>
      <c r="AN8" s="435">
        <f t="shared" si="15"/>
        <v>3</v>
      </c>
      <c r="AO8" s="435">
        <f t="shared" si="15"/>
        <v>1</v>
      </c>
      <c r="AP8" s="435">
        <f t="shared" si="15"/>
        <v>0</v>
      </c>
      <c r="AQ8" s="435">
        <f t="shared" si="15"/>
        <v>2</v>
      </c>
      <c r="AR8" s="435">
        <f t="shared" si="15"/>
        <v>2</v>
      </c>
      <c r="AS8" s="435">
        <f t="shared" si="15"/>
        <v>3</v>
      </c>
      <c r="AT8" s="436">
        <f t="shared" si="15"/>
        <v>-1</v>
      </c>
      <c r="AU8" s="425">
        <f>INDEX($DL$6:$DL$53,MATCH(AI8,$DP$6:$DP$53,0))</f>
        <v>1</v>
      </c>
      <c r="AV8" s="426" t="str">
        <f>INDEX($BD$6:$BD$53,MATCH(AI8,$BM$6:$BM$53,0))</f>
        <v>Mexico</v>
      </c>
      <c r="AW8" s="579"/>
      <c r="AX8" s="396"/>
      <c r="AY8" s="396" t="str">
        <f>+A7</f>
        <v>South Korea</v>
      </c>
      <c r="AZ8" s="396"/>
      <c r="BA8" s="378"/>
      <c r="BC8" s="9" t="str">
        <f>+INDEX(T_Equipos[Grupo],MATCH(WORLDCUP!BD8,T_Equipos[NombreEquipo],0))</f>
        <v>A</v>
      </c>
      <c r="BD8" s="9" t="str">
        <f>+Equipos!B4</f>
        <v>South Korea</v>
      </c>
      <c r="BE8" s="9">
        <f t="shared" si="16"/>
        <v>6</v>
      </c>
      <c r="BF8" s="9">
        <f t="shared" si="17"/>
        <v>3</v>
      </c>
      <c r="BG8" s="9">
        <f t="shared" si="18"/>
        <v>2</v>
      </c>
      <c r="BH8" s="9">
        <f t="shared" si="19"/>
        <v>0</v>
      </c>
      <c r="BI8" s="9">
        <f t="shared" si="20"/>
        <v>1</v>
      </c>
      <c r="BJ8" s="9">
        <f t="shared" si="21"/>
        <v>3</v>
      </c>
      <c r="BK8" s="9">
        <f t="shared" si="22"/>
        <v>1</v>
      </c>
      <c r="BL8" s="9">
        <f t="shared" si="23"/>
        <v>2</v>
      </c>
      <c r="BM8" s="9" t="str">
        <f t="shared" si="24"/>
        <v>2A</v>
      </c>
      <c r="BN8" s="9" t="str">
        <f t="shared" si="25"/>
        <v>2A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6</v>
      </c>
      <c r="BS8" s="9">
        <f>BP8+COUNTIFS($BQ$6:$BQ$53,BQ8,$BR$6:BR$53,"&gt;"&amp;BR8,$BC$6:$BC$53,INDEX(T_Equipos[Grupo],MATCH(BD8,T_Equipos[NombreEquipo],0)))</f>
        <v>2</v>
      </c>
      <c r="BT8" s="9" t="str">
        <f>IF(COUNTIFS($BS$6:$BS$53,BS8,$BC$6:$BC$53,INDEX(T_Equipos[Grupo],MATCH(BD8,T_Equipos[NombreEquipo],0)))=1,"-","P."&amp;BS8&amp;" ("&amp;COUNTIFS($BS$6:$BS$53,BS8,$BC$6:$BC$53,INDEX(T_Equipos[Grupo],MATCH(BD8,T_Equipos[NombreEquipo],0)))&amp;")")</f>
        <v>-</v>
      </c>
      <c r="BU8" s="9" t="str">
        <f t="shared" si="28"/>
        <v>-</v>
      </c>
      <c r="BV8" s="9" t="str">
        <f t="shared" si="29"/>
        <v>-</v>
      </c>
      <c r="BW8" s="9" t="str">
        <f t="shared" si="30"/>
        <v>-</v>
      </c>
      <c r="BX8" s="9" t="str">
        <f t="shared" si="31"/>
        <v>-</v>
      </c>
      <c r="BY8" s="9">
        <f>BS8+COUNTIFS($BT$6:$BT$53,BT8,$BX$6:BX$53,"&gt;"&amp;BX8,$BC$6:$BC$53,INDEX(T_Equipos[Grupo],MATCH(BD8,T_Equipos[NombreEquipo],0)))</f>
        <v>2</v>
      </c>
      <c r="BZ8" s="9" t="str">
        <f>IF(COUNTIFS($BY$6:$BY$53,BY8,$BC$6:$BC$53,INDEX(T_Equipos[Grupo],MATCH(BD8,T_Equipos[NombreEquipo],0)))=1,"-","P."&amp;BY8&amp;" ("&amp;COUNTIFS($BY$6:$BY$53,BY8,$BC$6:$BC$53,INDEX(T_Equipos[Grupo],MATCH(BD8,T_Equipos[NombreEquipo],0)))&amp;")")</f>
        <v>-</v>
      </c>
      <c r="CA8" s="9" t="str">
        <f t="shared" si="32"/>
        <v>-</v>
      </c>
      <c r="CB8" s="9" t="str">
        <f t="shared" si="33"/>
        <v>-</v>
      </c>
      <c r="CC8" s="9" t="str">
        <f t="shared" si="34"/>
        <v>-</v>
      </c>
      <c r="CD8" s="9">
        <f>BY8+COUNTIFS($BZ$6:$BZ$53,BZ8,$CC$6:CC$53,"&gt;"&amp;CC8,$BC$6:$BC$53,INDEX(T_Equipos[Grupo],MATCH(BD8,T_Equipos[NombreEquipo],0)))</f>
        <v>2</v>
      </c>
      <c r="CE8" s="9" t="str">
        <f>IF(COUNTIFS($CD$6:$CD$53,CD8,$BC$6:$BC$53,INDEX(T_Equipos[Grupo],MATCH(BD8,T_Equipos[NombreEquipo],0)))=1,"-","P."&amp;CD8&amp;" ("&amp;COUNTIFS($CD$6:$CD$53,CD8,$BC$6:$BC$53,INDEX(T_Equipos[Grupo],MATCH(BD8,T_Equipos[NombreEquipo],0)))&amp;")")</f>
        <v>-</v>
      </c>
      <c r="CF8" s="9" t="str">
        <f t="shared" si="35"/>
        <v>-</v>
      </c>
      <c r="CG8" s="9">
        <f>CD8+COUNTIFS($CE$6:$CE$53,CE8,$CF$6:CF$53,"&gt;"&amp;CF8,$BC$6:$BC$53,INDEX(T_Equipos[Grupo],MATCH(BD8,T_Equipos[NombreEquipo],0)))</f>
        <v>2</v>
      </c>
      <c r="CH8" s="9" t="str">
        <f>IF(COUNTIFS($CG$6:$CG$53,CG8,$BC$6:$BC$53,INDEX(T_Equipos[Grupo],MATCH(BD8,T_Equipos[NombreEquipo],0)))=1,"-","P."&amp;CG8&amp;" ("&amp;COUNTIFS($CG$6:$CG$53,CG8,$BC$6:$BC$53,INDEX(T_Equipos[Grupo],MATCH(BD8,T_Equipos[NombreEquipo],0)))&amp;")")</f>
        <v>-</v>
      </c>
      <c r="CI8" s="9" t="str">
        <f t="shared" si="36"/>
        <v>-</v>
      </c>
      <c r="CJ8" s="9" t="str">
        <f t="shared" si="37"/>
        <v>-</v>
      </c>
      <c r="CK8" s="9" t="str">
        <f t="shared" si="38"/>
        <v>-</v>
      </c>
      <c r="CL8" s="9" t="str">
        <f t="shared" si="39"/>
        <v>-</v>
      </c>
      <c r="CM8" s="9">
        <f>CG8+COUNTIFS($CH$6:$CH$53,CH8,$CL$6:CL$53,"&gt;"&amp;CL8,$BC$6:$BC$53,INDEX(T_Equipos[Grupo],MATCH(BD8,T_Equipos[NombreEquipo],0)))</f>
        <v>2</v>
      </c>
      <c r="CN8" s="9" t="str">
        <f>IF(COUNTIFS($CM$6:$CM$53,CM8,$BC$6:$BC$53,INDEX(T_Equipos[Grupo],MATCH(BD8,T_Equipos[NombreEquipo],0)))=1,"-","P."&amp;CM8&amp;" ("&amp;COUNTIFS($CM$6:$CM$53,CM8,$BC$6:$BC$53,INDEX(T_Equipos[Grupo],MATCH(BD8,T_Equipos[NombreEquipo],0)))&amp;")")</f>
        <v>-</v>
      </c>
      <c r="CO8" s="9" t="str">
        <f t="shared" si="40"/>
        <v>-</v>
      </c>
      <c r="CP8" s="9" t="str">
        <f t="shared" si="41"/>
        <v>-</v>
      </c>
      <c r="CQ8" s="9" t="str">
        <f t="shared" si="42"/>
        <v>-</v>
      </c>
      <c r="CR8" s="9">
        <f>CM8+COUNTIFS($CN$6:$CN$53,CN8,$CQ$6:CQ$53,"&gt;"&amp;CQ8,$BC$6:$BC$53,INDEX(T_Equipos[Grupo],MATCH(BD8,T_Equipos[NombreEquipo],0)))</f>
        <v>2</v>
      </c>
      <c r="CS8" s="9" t="str">
        <f>IF(COUNTIFS($CR$6:$CR$53,CR8,$BC$6:$BC$53,INDEX(T_Equipos[Grupo],MATCH(BD8,T_Equipos[NombreEquipo],0)))=1,"-","P."&amp;CR8&amp;" ("&amp;COUNTIFS($CR$6:$CR$53,CR8,$BC$6:$BC$53,INDEX(T_Equipos[Grupo],MATCH(BD8,T_Equipos[NombreEquipo],0)))&amp;")")</f>
        <v>-</v>
      </c>
      <c r="CT8" s="9" t="str">
        <f t="shared" si="43"/>
        <v>-</v>
      </c>
      <c r="CU8" s="9">
        <f>CR8+COUNTIFS($CS$6:$CS$53,CS8,$CT$6:CT$53,"&gt;"&amp;CT8,$BC$6:$BC$53,INDEX(T_Equipos[Grupo],MATCH(BD8,T_Equipos[NombreEquipo],0)))</f>
        <v>2</v>
      </c>
      <c r="CV8" s="9" t="str">
        <f>IF(COUNTIFS($CU$6:$CU$53,CU8,$BC$6:$BC$53,INDEX(T_Equipos[Grupo],MATCH(BD8,T_Equipos[NombreEquipo],0)))=1,"-","P."&amp;CU8&amp;" ("&amp;COUNTIFS($CU$6:$CU$53,CU8,$BC$6:$BC$53,INDEX(T_Equipos[Grupo],MATCH(BD8,T_Equipos[NombreEquipo],0)))&amp;")")</f>
        <v>-</v>
      </c>
      <c r="CW8" s="9" t="str">
        <f t="shared" si="44"/>
        <v>-</v>
      </c>
      <c r="CX8" s="9">
        <f>CU8+COUNTIFS($CV$6:$CV$53,CV8,$CW$6:CW$53,"&gt;"&amp;CW8,$BC$6:$BC$53,INDEX(T_Equipos[Grupo],MATCH(BD8,T_Equipos[NombreEquipo],0)))</f>
        <v>2</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2</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2</v>
      </c>
      <c r="DE8" s="9"/>
      <c r="DF8" s="9">
        <f t="shared" si="46"/>
        <v>2</v>
      </c>
      <c r="DG8" s="9" t="str">
        <f>IF(DB8="-","-",COUNTIFS(DF$6:DF$53,"&lt;"&amp;DF8,$BC$6:$BC$53,INDEX(T_Equipos[Grupo],MATCH(BD8,T_Equipos[NombreEquipo],0))))</f>
        <v>-</v>
      </c>
      <c r="DH8" s="9">
        <f>DA8+COUNTIFS(DB$6:DB$53,DB8,DG$6:DG$53,"&lt;"&amp;DG8,$BC$6:$BC$53,INDEX(T_Equipos[Grupo],MATCH(BD8,T_Equipos[NombreEquipo],0)))</f>
        <v>2</v>
      </c>
      <c r="DI8" s="9"/>
      <c r="DJ8" s="9">
        <f t="shared" si="47"/>
        <v>3</v>
      </c>
      <c r="DK8" s="9">
        <f t="shared" si="48"/>
        <v>12</v>
      </c>
      <c r="DL8" s="9">
        <f t="shared" si="49"/>
        <v>1</v>
      </c>
      <c r="DM8" s="9" t="str">
        <f t="shared" si="50"/>
        <v>3.1</v>
      </c>
      <c r="DN8" s="9">
        <f t="array" aca="1" ref="DN8" ca="1">OFFSET(Horarios!$P$3,DJ8-1,0,DL8,1)</f>
        <v>3</v>
      </c>
      <c r="DO8" s="9"/>
      <c r="DP8" s="9" t="s">
        <v>76</v>
      </c>
      <c r="DQ8" s="9" t="str">
        <f t="shared" si="51"/>
        <v>Mexico</v>
      </c>
    </row>
    <row r="9" spans="1:121" ht="16.149999999999999" customHeight="1" thickBot="1">
      <c r="D9" s="8" t="str">
        <f t="shared" si="0"/>
        <v>Visitante</v>
      </c>
      <c r="E9" s="8" t="str">
        <f t="shared" si="1"/>
        <v>-</v>
      </c>
      <c r="F9" s="8" t="str">
        <f t="shared" si="2"/>
        <v>-</v>
      </c>
      <c r="H9" s="8" t="str">
        <f t="shared" si="3"/>
        <v>-</v>
      </c>
      <c r="I9" s="8" t="str">
        <f t="shared" si="4"/>
        <v>-</v>
      </c>
      <c r="K9" s="8" t="str">
        <f t="shared" si="5"/>
        <v>-</v>
      </c>
      <c r="L9" s="8" t="str">
        <f t="shared" si="6"/>
        <v>-</v>
      </c>
      <c r="N9" s="8" t="str">
        <f t="shared" si="7"/>
        <v>-</v>
      </c>
      <c r="O9" s="8" t="str">
        <f t="shared" si="8"/>
        <v>-</v>
      </c>
      <c r="Q9" s="8" t="str">
        <f t="shared" si="9"/>
        <v>-</v>
      </c>
      <c r="R9" s="8" t="str">
        <f t="shared" si="10"/>
        <v>-</v>
      </c>
      <c r="T9" s="8" t="str">
        <f t="shared" si="11"/>
        <v>-</v>
      </c>
      <c r="U9" s="8" t="str">
        <f t="shared" si="12"/>
        <v>-</v>
      </c>
      <c r="V9" s="379"/>
      <c r="W9" s="608"/>
      <c r="X9" s="439">
        <f>Horarios!C9</f>
        <v>46197.875</v>
      </c>
      <c r="Y9" s="440">
        <f>Horarios!C9</f>
        <v>46197.875</v>
      </c>
      <c r="Z9" s="441" t="str">
        <f>$Z$8</f>
        <v>R3</v>
      </c>
      <c r="AA9" s="442" t="str">
        <f>A6</f>
        <v>South Africa</v>
      </c>
      <c r="AB9" s="443" t="str">
        <f t="array" aca="1" ref="AB9" ca="1">Ver_flag_local</f>
        <v/>
      </c>
      <c r="AC9" s="17">
        <v>0</v>
      </c>
      <c r="AD9" s="18">
        <v>2</v>
      </c>
      <c r="AE9" s="444" t="str">
        <f t="array" aca="1" ref="AE9" ca="1">Ver_flag_visit</f>
        <v/>
      </c>
      <c r="AF9" s="445" t="str">
        <f>A7</f>
        <v>South Korea</v>
      </c>
      <c r="AG9" s="404">
        <f t="shared" si="13"/>
        <v>1</v>
      </c>
      <c r="AH9" s="405">
        <v>54</v>
      </c>
      <c r="AI9" s="406" t="str">
        <f>AJ9&amp;$B$4</f>
        <v>4A</v>
      </c>
      <c r="AJ9" s="446">
        <v>4</v>
      </c>
      <c r="AK9" s="447" t="str">
        <f t="array" aca="1" ref="AK9" ca="1">Ver_flag_visit</f>
        <v/>
      </c>
      <c r="AL9" s="448" t="str">
        <f>IFERROR(INDEX($BD$6:$BD$53,MATCH(AI9,$BN$6:$BN$53,0)),"")</f>
        <v>South Africa</v>
      </c>
      <c r="AM9" s="449">
        <f t="shared" si="15"/>
        <v>0</v>
      </c>
      <c r="AN9" s="450">
        <f t="shared" si="15"/>
        <v>3</v>
      </c>
      <c r="AO9" s="450">
        <f t="shared" si="15"/>
        <v>0</v>
      </c>
      <c r="AP9" s="450">
        <f t="shared" si="15"/>
        <v>0</v>
      </c>
      <c r="AQ9" s="450">
        <f t="shared" si="15"/>
        <v>3</v>
      </c>
      <c r="AR9" s="450">
        <f t="shared" si="15"/>
        <v>0</v>
      </c>
      <c r="AS9" s="450">
        <f t="shared" si="15"/>
        <v>6</v>
      </c>
      <c r="AT9" s="451">
        <f t="shared" si="15"/>
        <v>-6</v>
      </c>
      <c r="AU9" s="425">
        <f>INDEX($DL$6:$DL$53,MATCH(AI9,$DP$6:$DP$53,0))</f>
        <v>1</v>
      </c>
      <c r="AV9" s="426" t="str">
        <f>INDEX($BD$6:$BD$53,MATCH(AI9,$BM$6:$BM$53,0))</f>
        <v>South Africa</v>
      </c>
      <c r="AW9" s="579"/>
      <c r="AX9" s="396"/>
      <c r="AY9" s="396" t="str">
        <f>+A8</f>
        <v>Czech Republic</v>
      </c>
      <c r="AZ9" s="396"/>
      <c r="BA9" s="378"/>
      <c r="BC9" s="9" t="str">
        <f>+INDEX(T_Equipos[Grupo],MATCH(WORLDCUP!BD9,T_Equipos[NombreEquipo],0))</f>
        <v>A</v>
      </c>
      <c r="BD9" s="9" t="str">
        <f>+Equipos!B5</f>
        <v>Czech Republic</v>
      </c>
      <c r="BE9" s="9">
        <f t="shared" si="16"/>
        <v>9</v>
      </c>
      <c r="BF9" s="9">
        <f t="shared" si="17"/>
        <v>3</v>
      </c>
      <c r="BG9" s="9">
        <f t="shared" si="18"/>
        <v>3</v>
      </c>
      <c r="BH9" s="9">
        <f t="shared" si="19"/>
        <v>0</v>
      </c>
      <c r="BI9" s="9">
        <f t="shared" si="20"/>
        <v>0</v>
      </c>
      <c r="BJ9" s="9">
        <f t="shared" si="21"/>
        <v>5</v>
      </c>
      <c r="BK9" s="9">
        <f t="shared" si="22"/>
        <v>0</v>
      </c>
      <c r="BL9" s="9">
        <f t="shared" si="23"/>
        <v>5</v>
      </c>
      <c r="BM9" s="9" t="str">
        <f t="shared" si="24"/>
        <v>1A</v>
      </c>
      <c r="BN9" s="9" t="str">
        <f t="shared" si="25"/>
        <v>1A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9</v>
      </c>
      <c r="BS9" s="9">
        <f>BP9+COUNTIFS($BQ$6:$BQ$53,BQ9,$BR$6:BR$53,"&gt;"&amp;BR9,$BC$6:$BC$53,INDEX(T_Equipos[Grupo],MATCH(BD9,T_Equipos[NombreEquipo],0)))</f>
        <v>1</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1</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1</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1</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1</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1</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1</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1</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1</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1</v>
      </c>
      <c r="DE9" s="9"/>
      <c r="DF9" s="9">
        <f t="shared" si="46"/>
        <v>1</v>
      </c>
      <c r="DG9" s="9" t="str">
        <f>IF(DB9="-","-",COUNTIFS(DF$6:DF$53,"&lt;"&amp;DF9,$BC$6:$BC$53,INDEX(T_Equipos[Grupo],MATCH(BD9,T_Equipos[NombreEquipo],0))))</f>
        <v>-</v>
      </c>
      <c r="DH9" s="9">
        <f>DA9+COUNTIFS(DB$6:DB$53,DB9,DG$6:DG$53,"&lt;"&amp;DG9,$BC$6:$BC$53,INDEX(T_Equipos[Grupo],MATCH(BD9,T_Equipos[NombreEquipo],0)))</f>
        <v>1</v>
      </c>
      <c r="DI9" s="9"/>
      <c r="DJ9" s="9">
        <f t="shared" si="47"/>
        <v>4</v>
      </c>
      <c r="DK9" s="9">
        <f t="shared" si="48"/>
        <v>12</v>
      </c>
      <c r="DL9" s="9">
        <f t="shared" si="49"/>
        <v>1</v>
      </c>
      <c r="DM9" s="9" t="str">
        <f t="shared" si="50"/>
        <v>4.1</v>
      </c>
      <c r="DN9" s="9">
        <f t="array" aca="1" ref="DN9" ca="1">OFFSET(Horarios!$P$3,DJ9-1,0,DL9,1)</f>
        <v>4</v>
      </c>
      <c r="DO9" s="9"/>
      <c r="DP9" s="9" t="s">
        <v>77</v>
      </c>
      <c r="DQ9" s="9" t="str">
        <f t="shared" si="51"/>
        <v>South Africa</v>
      </c>
    </row>
    <row r="10" spans="1:121" ht="16.149999999999999" customHeight="1" thickBot="1">
      <c r="V10" s="379"/>
      <c r="W10" s="454"/>
      <c r="X10" s="455"/>
      <c r="Y10" s="454"/>
      <c r="Z10" s="456"/>
      <c r="AA10" s="457"/>
      <c r="AB10" s="458"/>
      <c r="AC10" s="459"/>
      <c r="AD10" s="459"/>
      <c r="AE10" s="458"/>
      <c r="AF10" s="460"/>
      <c r="AG10" s="404"/>
      <c r="AH10" s="405"/>
      <c r="AI10" s="406"/>
      <c r="AJ10" s="461"/>
      <c r="AK10" s="462"/>
      <c r="AL10" s="395"/>
      <c r="AM10" s="463"/>
      <c r="AN10" s="461"/>
      <c r="AO10" s="461"/>
      <c r="AP10" s="461"/>
      <c r="AQ10" s="461"/>
      <c r="AR10" s="461"/>
      <c r="AS10" s="461"/>
      <c r="AT10" s="461"/>
      <c r="AU10" s="425"/>
      <c r="AV10" s="464"/>
      <c r="AW10" s="427"/>
      <c r="AX10" s="428"/>
      <c r="AY10" s="454"/>
      <c r="AZ10" s="455"/>
      <c r="BA10" s="378"/>
      <c r="BC10" s="9" t="str">
        <f>+INDEX(T_Equipos[Grupo],MATCH(WORLDCUP!BD10,T_Equipos[NombreEquipo],0))</f>
        <v>B</v>
      </c>
      <c r="BD10" s="9" t="str">
        <f>+Equipos!B6</f>
        <v>Canada</v>
      </c>
      <c r="BE10" s="9">
        <f t="shared" si="16"/>
        <v>6</v>
      </c>
      <c r="BF10" s="9">
        <f t="shared" si="17"/>
        <v>3</v>
      </c>
      <c r="BG10" s="9">
        <f t="shared" si="18"/>
        <v>2</v>
      </c>
      <c r="BH10" s="9">
        <f t="shared" si="19"/>
        <v>0</v>
      </c>
      <c r="BI10" s="9">
        <f t="shared" si="20"/>
        <v>1</v>
      </c>
      <c r="BJ10" s="9">
        <f t="shared" si="21"/>
        <v>3</v>
      </c>
      <c r="BK10" s="9">
        <f t="shared" si="22"/>
        <v>2</v>
      </c>
      <c r="BL10" s="9">
        <f t="shared" si="23"/>
        <v>1</v>
      </c>
      <c r="BM10" s="9" t="str">
        <f t="shared" si="24"/>
        <v>2B</v>
      </c>
      <c r="BN10" s="9" t="str">
        <f t="shared" si="25"/>
        <v>2B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6</v>
      </c>
      <c r="BS10" s="9">
        <f>BP10+COUNTIFS($BQ$6:$BQ$53,BQ10,$BR$6:BR$53,"&gt;"&amp;BR10,$BC$6:$BC$53,INDEX(T_Equipos[Grupo],MATCH(BD10,T_Equipos[NombreEquipo],0)))</f>
        <v>2</v>
      </c>
      <c r="BT10" s="9" t="str">
        <f>IF(COUNTIFS($BS$6:$BS$53,BS10,$BC$6:$BC$53,INDEX(T_Equipos[Grupo],MATCH(BD10,T_Equipos[NombreEquipo],0)))=1,"-","P."&amp;BS10&amp;" ("&amp;COUNTIFS($BS$6:$BS$53,BS10,$BC$6:$BC$53,INDEX(T_Equipos[Grupo],MATCH(BD10,T_Equipos[NombreEquipo],0)))&amp;")")</f>
        <v>-</v>
      </c>
      <c r="BU10" s="9" t="str">
        <f t="shared" si="28"/>
        <v>-</v>
      </c>
      <c r="BV10" s="9" t="str">
        <f t="shared" si="29"/>
        <v>-</v>
      </c>
      <c r="BW10" s="9" t="str">
        <f t="shared" si="30"/>
        <v>-</v>
      </c>
      <c r="BX10" s="9" t="str">
        <f t="shared" si="31"/>
        <v>-</v>
      </c>
      <c r="BY10" s="9">
        <f>BS10+COUNTIFS($BT$6:$BT$53,BT10,$BX$6:BX$53,"&gt;"&amp;BX10,$BC$6:$BC$53,INDEX(T_Equipos[Grupo],MATCH(BD10,T_Equipos[NombreEquipo],0)))</f>
        <v>2</v>
      </c>
      <c r="BZ10" s="9" t="str">
        <f>IF(COUNTIFS($BY$6:$BY$53,BY10,$BC$6:$BC$53,INDEX(T_Equipos[Grupo],MATCH(BD10,T_Equipos[NombreEquipo],0)))=1,"-","P."&amp;BY10&amp;" ("&amp;COUNTIFS($BY$6:$BY$53,BY10,$BC$6:$BC$53,INDEX(T_Equipos[Grupo],MATCH(BD10,T_Equipos[NombreEquipo],0)))&amp;")")</f>
        <v>-</v>
      </c>
      <c r="CA10" s="9" t="str">
        <f t="shared" si="32"/>
        <v>-</v>
      </c>
      <c r="CB10" s="9" t="str">
        <f t="shared" si="33"/>
        <v>-</v>
      </c>
      <c r="CC10" s="9" t="str">
        <f t="shared" si="34"/>
        <v>-</v>
      </c>
      <c r="CD10" s="9">
        <f>BY10+COUNTIFS($BZ$6:$BZ$53,BZ10,$CC$6:CC$53,"&gt;"&amp;CC10,$BC$6:$BC$53,INDEX(T_Equipos[Grupo],MATCH(BD10,T_Equipos[NombreEquipo],0)))</f>
        <v>2</v>
      </c>
      <c r="CE10" s="9" t="str">
        <f>IF(COUNTIFS($CD$6:$CD$53,CD10,$BC$6:$BC$53,INDEX(T_Equipos[Grupo],MATCH(BD10,T_Equipos[NombreEquipo],0)))=1,"-","P."&amp;CD10&amp;" ("&amp;COUNTIFS($CD$6:$CD$53,CD10,$BC$6:$BC$53,INDEX(T_Equipos[Grupo],MATCH(BD10,T_Equipos[NombreEquipo],0)))&amp;")")</f>
        <v>-</v>
      </c>
      <c r="CF10" s="9" t="str">
        <f t="shared" si="35"/>
        <v>-</v>
      </c>
      <c r="CG10" s="9">
        <f>CD10+COUNTIFS($CE$6:$CE$53,CE10,$CF$6:CF$53,"&gt;"&amp;CF10,$BC$6:$BC$53,INDEX(T_Equipos[Grupo],MATCH(BD10,T_Equipos[NombreEquipo],0)))</f>
        <v>2</v>
      </c>
      <c r="CH10" s="9" t="str">
        <f>IF(COUNTIFS($CG$6:$CG$53,CG10,$BC$6:$BC$53,INDEX(T_Equipos[Grupo],MATCH(BD10,T_Equipos[NombreEquipo],0)))=1,"-","P."&amp;CG10&amp;" ("&amp;COUNTIFS($CG$6:$CG$53,CG10,$BC$6:$BC$53,INDEX(T_Equipos[Grupo],MATCH(BD10,T_Equipos[NombreEquipo],0)))&amp;")")</f>
        <v>-</v>
      </c>
      <c r="CI10" s="9" t="str">
        <f t="shared" si="36"/>
        <v>-</v>
      </c>
      <c r="CJ10" s="9" t="str">
        <f t="shared" si="37"/>
        <v>-</v>
      </c>
      <c r="CK10" s="9" t="str">
        <f t="shared" si="38"/>
        <v>-</v>
      </c>
      <c r="CL10" s="9" t="str">
        <f t="shared" si="39"/>
        <v>-</v>
      </c>
      <c r="CM10" s="9">
        <f>CG10+COUNTIFS($CH$6:$CH$53,CH10,$CL$6:CL$53,"&gt;"&amp;CL10,$BC$6:$BC$53,INDEX(T_Equipos[Grupo],MATCH(BD10,T_Equipos[NombreEquipo],0)))</f>
        <v>2</v>
      </c>
      <c r="CN10" s="9" t="str">
        <f>IF(COUNTIFS($CM$6:$CM$53,CM10,$BC$6:$BC$53,INDEX(T_Equipos[Grupo],MATCH(BD10,T_Equipos[NombreEquipo],0)))=1,"-","P."&amp;CM10&amp;" ("&amp;COUNTIFS($CM$6:$CM$53,CM10,$BC$6:$BC$53,INDEX(T_Equipos[Grupo],MATCH(BD10,T_Equipos[NombreEquipo],0)))&amp;")")</f>
        <v>-</v>
      </c>
      <c r="CO10" s="9" t="str">
        <f t="shared" si="40"/>
        <v>-</v>
      </c>
      <c r="CP10" s="9" t="str">
        <f t="shared" si="41"/>
        <v>-</v>
      </c>
      <c r="CQ10" s="9" t="str">
        <f t="shared" si="42"/>
        <v>-</v>
      </c>
      <c r="CR10" s="9">
        <f>CM10+COUNTIFS($CN$6:$CN$53,CN10,$CQ$6:CQ$53,"&gt;"&amp;CQ10,$BC$6:$BC$53,INDEX(T_Equipos[Grupo],MATCH(BD10,T_Equipos[NombreEquipo],0)))</f>
        <v>2</v>
      </c>
      <c r="CS10" s="9" t="str">
        <f>IF(COUNTIFS($CR$6:$CR$53,CR10,$BC$6:$BC$53,INDEX(T_Equipos[Grupo],MATCH(BD10,T_Equipos[NombreEquipo],0)))=1,"-","P."&amp;CR10&amp;" ("&amp;COUNTIFS($CR$6:$CR$53,CR10,$BC$6:$BC$53,INDEX(T_Equipos[Grupo],MATCH(BD10,T_Equipos[NombreEquipo],0)))&amp;")")</f>
        <v>-</v>
      </c>
      <c r="CT10" s="9" t="str">
        <f t="shared" si="43"/>
        <v>-</v>
      </c>
      <c r="CU10" s="9">
        <f>CR10+COUNTIFS($CS$6:$CS$53,CS10,$CT$6:CT$53,"&gt;"&amp;CT10,$BC$6:$BC$53,INDEX(T_Equipos[Grupo],MATCH(BD10,T_Equipos[NombreEquipo],0)))</f>
        <v>2</v>
      </c>
      <c r="CV10" s="9" t="str">
        <f>IF(COUNTIFS($CU$6:$CU$53,CU10,$BC$6:$BC$53,INDEX(T_Equipos[Grupo],MATCH(BD10,T_Equipos[NombreEquipo],0)))=1,"-","P."&amp;CU10&amp;" ("&amp;COUNTIFS($CU$6:$CU$53,CU10,$BC$6:$BC$53,INDEX(T_Equipos[Grupo],MATCH(BD10,T_Equipos[NombreEquipo],0)))&amp;")")</f>
        <v>-</v>
      </c>
      <c r="CW10" s="9" t="str">
        <f t="shared" si="44"/>
        <v>-</v>
      </c>
      <c r="CX10" s="9">
        <f>CU10+COUNTIFS($CV$6:$CV$53,CV10,$CW$6:CW$53,"&gt;"&amp;CW10,$BC$6:$BC$53,INDEX(T_Equipos[Grupo],MATCH(BD10,T_Equipos[NombreEquipo],0)))</f>
        <v>2</v>
      </c>
      <c r="CY10" s="9" t="str">
        <f>IF(COUNTIFS($CX$6:$CX$53,CX10,$BC$6:$BC$53,INDEX(T_Equipos[Grupo],MATCH(BD10,T_Equipos[NombreEquipo],0)))=1,"-","P."&amp;CX10&amp;" ("&amp;COUNTIFS($CX$6:$CX$53,CX10,$BC$6:$BC$53,INDEX(T_Equipos[Grupo],MATCH(BD10,T_Equipos[NombreEquipo],0)))&amp;")")</f>
        <v>-</v>
      </c>
      <c r="CZ10" s="9" t="str">
        <f t="shared" si="45"/>
        <v>-</v>
      </c>
      <c r="DA10" s="9">
        <f>CX10+COUNTIFS($CY$6:$CY$53,CY10,$CZ$6:CZ$53,"&gt;"&amp;CZ10,$BC$6:$BC$53,INDEX(T_Equipos[Grupo],MATCH(BD10,T_Equipos[NombreEquipo],0)))</f>
        <v>2</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2</v>
      </c>
      <c r="DE10" s="9"/>
      <c r="DF10" s="9">
        <f t="shared" si="46"/>
        <v>2</v>
      </c>
      <c r="DG10" s="9" t="str">
        <f>IF(DB10="-","-",COUNTIFS(DF$6:DF$53,"&lt;"&amp;DF10,$BC$6:$BC$53,INDEX(T_Equipos[Grupo],MATCH(BD10,T_Equipos[NombreEquipo],0))))</f>
        <v>-</v>
      </c>
      <c r="DH10" s="9">
        <f>DA10+COUNTIFS(DB$6:DB$53,DB10,DG$6:DG$53,"&lt;"&amp;DG10,$BC$6:$BC$53,INDEX(T_Equipos[Grupo],MATCH(BD10,T_Equipos[NombreEquipo],0)))</f>
        <v>2</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Switzerland</v>
      </c>
    </row>
    <row r="11" spans="1:121" ht="16.149999999999999" customHeight="1" thickBot="1">
      <c r="V11" s="379"/>
      <c r="W11" s="388"/>
      <c r="X11" s="389" t="str">
        <f>X3</f>
        <v>Date</v>
      </c>
      <c r="Y11" s="389" t="str">
        <f>Y3</f>
        <v>Hour</v>
      </c>
      <c r="Z11" s="390" t="str">
        <f>Z3</f>
        <v>R</v>
      </c>
      <c r="AA11" s="391" t="str">
        <f>AA3</f>
        <v>Home</v>
      </c>
      <c r="AB11" s="392"/>
      <c r="AC11" s="390" t="str">
        <f>AC3</f>
        <v>Goals</v>
      </c>
      <c r="AD11" s="390" t="str">
        <f>AD3</f>
        <v>Goals</v>
      </c>
      <c r="AE11" s="392"/>
      <c r="AF11" s="393" t="str">
        <f>AF3</f>
        <v>Away</v>
      </c>
      <c r="AG11" s="465"/>
      <c r="AH11" s="405"/>
      <c r="AI11" s="382"/>
      <c r="AJ11" s="395"/>
      <c r="AK11" s="466"/>
      <c r="AL11" s="395"/>
      <c r="AM11" s="395"/>
      <c r="AN11" s="395"/>
      <c r="AO11" s="395"/>
      <c r="AP11" s="395"/>
      <c r="AQ11" s="395"/>
      <c r="AR11" s="395"/>
      <c r="AS11" s="395"/>
      <c r="AT11" s="395"/>
      <c r="AU11" s="467"/>
      <c r="AV11" s="384"/>
      <c r="AW11" s="468"/>
      <c r="AX11" s="469"/>
      <c r="AY11" s="454"/>
      <c r="AZ11" s="455"/>
      <c r="BA11" s="378"/>
      <c r="BC11" s="9" t="str">
        <f>+INDEX(T_Equipos[Grupo],MATCH(WORLDCUP!BD11,T_Equipos[NombreEquipo],0))</f>
        <v>B</v>
      </c>
      <c r="BD11" s="9" t="str">
        <f>+Equipos!B7</f>
        <v>Bosnia and Herzegovina</v>
      </c>
      <c r="BE11" s="9">
        <f t="shared" si="16"/>
        <v>3</v>
      </c>
      <c r="BF11" s="9">
        <f t="shared" si="17"/>
        <v>3</v>
      </c>
      <c r="BG11" s="9">
        <f t="shared" si="18"/>
        <v>1</v>
      </c>
      <c r="BH11" s="9">
        <f t="shared" si="19"/>
        <v>0</v>
      </c>
      <c r="BI11" s="9">
        <f t="shared" si="20"/>
        <v>2</v>
      </c>
      <c r="BJ11" s="9">
        <f t="shared" si="21"/>
        <v>1</v>
      </c>
      <c r="BK11" s="9">
        <f t="shared" si="22"/>
        <v>4</v>
      </c>
      <c r="BL11" s="9">
        <f t="shared" si="23"/>
        <v>-3</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3</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v>
      </c>
      <c r="BU11" s="9" t="str">
        <f t="shared" si="28"/>
        <v>-</v>
      </c>
      <c r="BV11" s="9" t="str">
        <f t="shared" si="29"/>
        <v>-</v>
      </c>
      <c r="BW11" s="9" t="str">
        <f t="shared" si="30"/>
        <v>-</v>
      </c>
      <c r="BX11" s="9" t="str">
        <f t="shared" si="31"/>
        <v>-</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v>
      </c>
      <c r="CA11" s="9" t="str">
        <f t="shared" si="32"/>
        <v>-</v>
      </c>
      <c r="CB11" s="9" t="str">
        <f t="shared" si="33"/>
        <v>-</v>
      </c>
      <c r="CC11" s="9" t="str">
        <f t="shared" si="34"/>
        <v>-</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v>
      </c>
      <c r="CF11" s="9" t="str">
        <f t="shared" si="35"/>
        <v>-</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v>
      </c>
      <c r="CI11" s="9" t="str">
        <f t="shared" si="36"/>
        <v>-</v>
      </c>
      <c r="CJ11" s="9" t="str">
        <f t="shared" si="37"/>
        <v>-</v>
      </c>
      <c r="CK11" s="9" t="str">
        <f t="shared" si="38"/>
        <v>-</v>
      </c>
      <c r="CL11" s="9" t="str">
        <f t="shared" si="39"/>
        <v>-</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v>
      </c>
      <c r="CO11" s="9" t="str">
        <f t="shared" si="40"/>
        <v>-</v>
      </c>
      <c r="CP11" s="9" t="str">
        <f t="shared" si="41"/>
        <v>-</v>
      </c>
      <c r="CQ11" s="9" t="str">
        <f t="shared" si="42"/>
        <v>-</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v>
      </c>
      <c r="CT11" s="9" t="str">
        <f t="shared" si="43"/>
        <v>-</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v>
      </c>
      <c r="CW11" s="9" t="str">
        <f t="shared" si="44"/>
        <v>-</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Canada</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v>
      </c>
      <c r="F12" s="8" t="str">
        <f t="shared" ref="F12:F17" si="54">IF(D12="Pendiente","-",INDEX($BT$6:$BT$53,MATCH($AF12,$BD$6:$BD$53,0)))</f>
        <v>-</v>
      </c>
      <c r="H12" s="8" t="str">
        <f t="shared" ref="H12:H17" si="55">IF(D12="Pendiente","-",INDEX($BZ$6:$BZ$53,MATCH($AA12,$BD$6:$BD$53,0)))</f>
        <v>-</v>
      </c>
      <c r="I12" s="8" t="str">
        <f t="shared" ref="I12:I17" si="56">IF(D12="Pendiente","-",INDEX($BZ$6:$BZ$53,MATCH($AF12,$BD$6:$BD$53,0)))</f>
        <v>-</v>
      </c>
      <c r="K12" s="8" t="str">
        <f t="shared" ref="K12:K17" si="57">IF(D12="Pendiente","-",INDEX($CE$6:$CE$53,MATCH($AA12,$BD$6:$BD$53,0)))</f>
        <v>-</v>
      </c>
      <c r="L12" s="8" t="str">
        <f t="shared" ref="L12:L17" si="58">IF(D12="Pendiente","-",INDEX($CE$6:$CE$53,MATCH($AF12,$BD$6:$BD$53,0)))</f>
        <v>-</v>
      </c>
      <c r="N12" s="8" t="str">
        <f t="shared" ref="N12:N17" si="59">IF(D12="Pendiente","-",INDEX($CH$6:$CH$53,MATCH($AA12,$BD$6:$BD$53,0)))</f>
        <v>-</v>
      </c>
      <c r="O12" s="8" t="str">
        <f t="shared" ref="O12:O17" si="60">IF(D12="Pendiente","-",INDEX($CH$6:$CH$53,MATCH($AF12,$BD$6:$BD$53,0)))</f>
        <v>-</v>
      </c>
      <c r="Q12" s="8" t="str">
        <f t="shared" ref="Q12:Q17" si="61">IF(D12="Pendiente","-",INDEX($CN$6:$CN$53,MATCH($AA12,$BD$6:$BD$53,0)))</f>
        <v>-</v>
      </c>
      <c r="R12" s="8" t="str">
        <f t="shared" ref="R12:R17" si="62">IF(D12="Pendiente","-",INDEX($CN$6:$CN$53,MATCH($AF12,$BD$6:$BD$53,0)))</f>
        <v>-</v>
      </c>
      <c r="T12" s="8" t="str">
        <f t="shared" ref="T12:T17" si="63">IF(D12="Pendiente","-",INDEX($CS$6:$CS$53,MATCH($AA12,$BD$6:$BD$53,0)))</f>
        <v>-</v>
      </c>
      <c r="U12" s="8" t="str">
        <f t="shared" ref="U12:U17" si="64">IF(D12="Pendiente","-",INDEX($CS$6:$CS$53,MATCH($AF12,$BD$6:$BD$53,0)))</f>
        <v>-</v>
      </c>
      <c r="V12" s="379"/>
      <c r="W12" s="615" t="s">
        <v>80</v>
      </c>
      <c r="X12" s="397">
        <f>Horarios!C12</f>
        <v>46185.625</v>
      </c>
      <c r="Y12" s="398">
        <f>Horarios!C12</f>
        <v>46185.625</v>
      </c>
      <c r="Z12" s="399" t="str">
        <f>$Z$4</f>
        <v>R1</v>
      </c>
      <c r="AA12" s="400" t="str">
        <f>A13</f>
        <v>Canada</v>
      </c>
      <c r="AB12" s="401" t="str">
        <f t="array" aca="1" ref="AB12" ca="1">Ver_flag_local</f>
        <v/>
      </c>
      <c r="AC12" s="15">
        <v>2</v>
      </c>
      <c r="AD12" s="16">
        <v>0</v>
      </c>
      <c r="AE12" s="402" t="str">
        <f t="array" aca="1" ref="AE12" ca="1">Ver_flag_visit</f>
        <v/>
      </c>
      <c r="AF12" s="403" t="str">
        <f>A14</f>
        <v>Bosnia and Herzegovina</v>
      </c>
      <c r="AG12" s="404">
        <f t="shared" ref="AG12:AG17" si="65">IF(NOT(OR(ISBLANK(AC12),ISBLANK(AD12))),1,0)</f>
        <v>1</v>
      </c>
      <c r="AH12" s="405">
        <v>3</v>
      </c>
      <c r="AI12" s="406"/>
      <c r="AJ12" s="407" t="str">
        <f>CONCATENATE(AJ3," ",B12)</f>
        <v>Group B</v>
      </c>
      <c r="AK12" s="408"/>
      <c r="AL12" s="408"/>
      <c r="AM12" s="408"/>
      <c r="AN12" s="408"/>
      <c r="AO12" s="408"/>
      <c r="AP12" s="408"/>
      <c r="AQ12" s="408"/>
      <c r="AR12" s="408"/>
      <c r="AS12" s="408"/>
      <c r="AT12" s="409"/>
      <c r="AU12" s="467"/>
      <c r="AV12" s="410" t="str">
        <f>IF(AU13&gt;0,$AV$3,"")</f>
        <v/>
      </c>
      <c r="AW12" s="470"/>
      <c r="AX12" s="470"/>
      <c r="AY12" s="454"/>
      <c r="AZ12" s="455"/>
      <c r="BA12" s="378"/>
      <c r="BC12" s="9" t="str">
        <f>+INDEX(T_Equipos[Grupo],MATCH(WORLDCUP!BD12,T_Equipos[NombreEquipo],0))</f>
        <v>B</v>
      </c>
      <c r="BD12" s="9" t="str">
        <f>+Equipos!B8</f>
        <v>Qatar</v>
      </c>
      <c r="BE12" s="9">
        <f t="shared" si="16"/>
        <v>0</v>
      </c>
      <c r="BF12" s="9">
        <f t="shared" si="17"/>
        <v>3</v>
      </c>
      <c r="BG12" s="9">
        <f t="shared" si="18"/>
        <v>0</v>
      </c>
      <c r="BH12" s="9">
        <f t="shared" si="19"/>
        <v>0</v>
      </c>
      <c r="BI12" s="9">
        <f t="shared" si="20"/>
        <v>3</v>
      </c>
      <c r="BJ12" s="9">
        <f t="shared" si="21"/>
        <v>0</v>
      </c>
      <c r="BK12" s="9">
        <f t="shared" si="22"/>
        <v>3</v>
      </c>
      <c r="BL12" s="9">
        <f t="shared" si="23"/>
        <v>-3</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0</v>
      </c>
      <c r="BS12" s="9">
        <f>BP12+COUNTIFS($BQ$6:$BQ$53,BQ12,$BR$6:BR$53,"&gt;"&amp;BR12,$BC$6:$BC$53,INDEX(T_Equipos[Grupo],MATCH(BD12,T_Equipos[NombreEquipo],0)))</f>
        <v>4</v>
      </c>
      <c r="BT12" s="9" t="str">
        <f>IF(COUNTIFS($BS$6:$BS$53,BS12,$BC$6:$BC$53,INDEX(T_Equipos[Grupo],MATCH(BD12,T_Equipos[NombreEquipo],0)))=1,"-","P."&amp;BS12&amp;" ("&amp;COUNTIFS($BS$6:$BS$53,BS12,$BC$6:$BC$53,INDEX(T_Equipos[Grupo],MATCH(BD12,T_Equipos[NombreEquipo],0)))&amp;")")</f>
        <v>-</v>
      </c>
      <c r="BU12" s="9" t="str">
        <f t="shared" si="28"/>
        <v>-</v>
      </c>
      <c r="BV12" s="9" t="str">
        <f t="shared" si="29"/>
        <v>-</v>
      </c>
      <c r="BW12" s="9" t="str">
        <f t="shared" si="30"/>
        <v>-</v>
      </c>
      <c r="BX12" s="9" t="str">
        <f t="shared" si="31"/>
        <v>-</v>
      </c>
      <c r="BY12" s="9">
        <f>BS12+COUNTIFS($BT$6:$BT$53,BT12,$BX$6:BX$53,"&gt;"&amp;BX12,$BC$6:$BC$53,INDEX(T_Equipos[Grupo],MATCH(BD12,T_Equipos[NombreEquipo],0)))</f>
        <v>4</v>
      </c>
      <c r="BZ12" s="9" t="str">
        <f>IF(COUNTIFS($BY$6:$BY$53,BY12,$BC$6:$BC$53,INDEX(T_Equipos[Grupo],MATCH(BD12,T_Equipos[NombreEquipo],0)))=1,"-","P."&amp;BY12&amp;" ("&amp;COUNTIFS($BY$6:$BY$53,BY12,$BC$6:$BC$53,INDEX(T_Equipos[Grupo],MATCH(BD12,T_Equipos[NombreEquipo],0)))&amp;")")</f>
        <v>-</v>
      </c>
      <c r="CA12" s="9" t="str">
        <f t="shared" si="32"/>
        <v>-</v>
      </c>
      <c r="CB12" s="9" t="str">
        <f t="shared" si="33"/>
        <v>-</v>
      </c>
      <c r="CC12" s="9" t="str">
        <f t="shared" si="34"/>
        <v>-</v>
      </c>
      <c r="CD12" s="9">
        <f>BY12+COUNTIFS($BZ$6:$BZ$53,BZ12,$CC$6:CC$53,"&gt;"&amp;CC12,$BC$6:$BC$53,INDEX(T_Equipos[Grupo],MATCH(BD12,T_Equipos[NombreEquipo],0)))</f>
        <v>4</v>
      </c>
      <c r="CE12" s="9" t="str">
        <f>IF(COUNTIFS($CD$6:$CD$53,CD12,$BC$6:$BC$53,INDEX(T_Equipos[Grupo],MATCH(BD12,T_Equipos[NombreEquipo],0)))=1,"-","P."&amp;CD12&amp;" ("&amp;COUNTIFS($CD$6:$CD$53,CD12,$BC$6:$BC$53,INDEX(T_Equipos[Grupo],MATCH(BD12,T_Equipos[NombreEquipo],0)))&amp;")")</f>
        <v>-</v>
      </c>
      <c r="CF12" s="9" t="str">
        <f t="shared" si="35"/>
        <v>-</v>
      </c>
      <c r="CG12" s="9">
        <f>CD12+COUNTIFS($CE$6:$CE$53,CE12,$CF$6:CF$53,"&gt;"&amp;CF12,$BC$6:$BC$53,INDEX(T_Equipos[Grupo],MATCH(BD12,T_Equipos[NombreEquipo],0)))</f>
        <v>4</v>
      </c>
      <c r="CH12" s="9" t="str">
        <f>IF(COUNTIFS($CG$6:$CG$53,CG12,$BC$6:$BC$53,INDEX(T_Equipos[Grupo],MATCH(BD12,T_Equipos[NombreEquipo],0)))=1,"-","P."&amp;CG12&amp;" ("&amp;COUNTIFS($CG$6:$CG$53,CG12,$BC$6:$BC$53,INDEX(T_Equipos[Grupo],MATCH(BD12,T_Equipos[NombreEquipo],0)))&amp;")")</f>
        <v>-</v>
      </c>
      <c r="CI12" s="9" t="str">
        <f t="shared" si="36"/>
        <v>-</v>
      </c>
      <c r="CJ12" s="9" t="str">
        <f t="shared" si="37"/>
        <v>-</v>
      </c>
      <c r="CK12" s="9" t="str">
        <f t="shared" si="38"/>
        <v>-</v>
      </c>
      <c r="CL12" s="9" t="str">
        <f t="shared" si="39"/>
        <v>-</v>
      </c>
      <c r="CM12" s="9">
        <f>CG12+COUNTIFS($CH$6:$CH$53,CH12,$CL$6:CL$53,"&gt;"&amp;CL12,$BC$6:$BC$53,INDEX(T_Equipos[Grupo],MATCH(BD12,T_Equipos[NombreEquipo],0)))</f>
        <v>4</v>
      </c>
      <c r="CN12" s="9" t="str">
        <f>IF(COUNTIFS($CM$6:$CM$53,CM12,$BC$6:$BC$53,INDEX(T_Equipos[Grupo],MATCH(BD12,T_Equipos[NombreEquipo],0)))=1,"-","P."&amp;CM12&amp;" ("&amp;COUNTIFS($CM$6:$CM$53,CM12,$BC$6:$BC$53,INDEX(T_Equipos[Grupo],MATCH(BD12,T_Equipos[NombreEquipo],0)))&amp;")")</f>
        <v>-</v>
      </c>
      <c r="CO12" s="9" t="str">
        <f t="shared" si="40"/>
        <v>-</v>
      </c>
      <c r="CP12" s="9" t="str">
        <f t="shared" si="41"/>
        <v>-</v>
      </c>
      <c r="CQ12" s="9" t="str">
        <f t="shared" si="42"/>
        <v>-</v>
      </c>
      <c r="CR12" s="9">
        <f>CM12+COUNTIFS($CN$6:$CN$53,CN12,$CQ$6:CQ$53,"&gt;"&amp;CQ12,$BC$6:$BC$53,INDEX(T_Equipos[Grupo],MATCH(BD12,T_Equipos[NombreEquipo],0)))</f>
        <v>4</v>
      </c>
      <c r="CS12" s="9" t="str">
        <f>IF(COUNTIFS($CR$6:$CR$53,CR12,$BC$6:$BC$53,INDEX(T_Equipos[Grupo],MATCH(BD12,T_Equipos[NombreEquipo],0)))=1,"-","P."&amp;CR12&amp;" ("&amp;COUNTIFS($CR$6:$CR$53,CR12,$BC$6:$BC$53,INDEX(T_Equipos[Grupo],MATCH(BD12,T_Equipos[NombreEquipo],0)))&amp;")")</f>
        <v>-</v>
      </c>
      <c r="CT12" s="9" t="str">
        <f t="shared" si="43"/>
        <v>-</v>
      </c>
      <c r="CU12" s="9">
        <f>CR12+COUNTIFS($CS$6:$CS$53,CS12,$CT$6:CT$53,"&gt;"&amp;CT12,$BC$6:$BC$53,INDEX(T_Equipos[Grupo],MATCH(BD12,T_Equipos[NombreEquipo],0)))</f>
        <v>4</v>
      </c>
      <c r="CV12" s="9" t="str">
        <f>IF(COUNTIFS($CU$6:$CU$53,CU12,$BC$6:$BC$53,INDEX(T_Equipos[Grupo],MATCH(BD12,T_Equipos[NombreEquipo],0)))=1,"-","P."&amp;CU12&amp;" ("&amp;COUNTIFS($CU$6:$CU$53,CU12,$BC$6:$BC$53,INDEX(T_Equipos[Grupo],MATCH(BD12,T_Equipos[NombreEquipo],0)))&amp;")")</f>
        <v>-</v>
      </c>
      <c r="CW12" s="9" t="str">
        <f t="shared" si="44"/>
        <v>-</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v>
      </c>
      <c r="F13" s="8" t="str">
        <f t="shared" si="54"/>
        <v>-</v>
      </c>
      <c r="H13" s="8" t="str">
        <f t="shared" si="55"/>
        <v>-</v>
      </c>
      <c r="I13" s="8" t="str">
        <f t="shared" si="56"/>
        <v>-</v>
      </c>
      <c r="K13" s="8" t="str">
        <f t="shared" si="57"/>
        <v>-</v>
      </c>
      <c r="L13" s="8" t="str">
        <f t="shared" si="58"/>
        <v>-</v>
      </c>
      <c r="N13" s="8" t="str">
        <f t="shared" si="59"/>
        <v>-</v>
      </c>
      <c r="O13" s="8" t="str">
        <f t="shared" si="60"/>
        <v>-</v>
      </c>
      <c r="Q13" s="8" t="str">
        <f t="shared" si="61"/>
        <v>-</v>
      </c>
      <c r="R13" s="8" t="str">
        <f t="shared" si="62"/>
        <v>-</v>
      </c>
      <c r="T13" s="8" t="str">
        <f t="shared" si="63"/>
        <v>-</v>
      </c>
      <c r="U13" s="8" t="str">
        <f t="shared" si="64"/>
        <v>-</v>
      </c>
      <c r="V13" s="379"/>
      <c r="W13" s="607"/>
      <c r="X13" s="397">
        <f>Horarios!C13</f>
        <v>46186.625</v>
      </c>
      <c r="Y13" s="398">
        <f>Horarios!C13</f>
        <v>46186.625</v>
      </c>
      <c r="Z13" s="399" t="str">
        <f>$Z$4</f>
        <v>R1</v>
      </c>
      <c r="AA13" s="400" t="str">
        <f>A15</f>
        <v>Qatar</v>
      </c>
      <c r="AB13" s="401" t="str">
        <f t="array" aca="1" ref="AB13" ca="1">Ver_flag_local</f>
        <v/>
      </c>
      <c r="AC13" s="15">
        <v>0</v>
      </c>
      <c r="AD13" s="16">
        <v>1</v>
      </c>
      <c r="AE13" s="402" t="str">
        <f t="array" aca="1" ref="AE13" ca="1">Ver_flag_visit</f>
        <v/>
      </c>
      <c r="AF13" s="403" t="str">
        <f>A16</f>
        <v>Switzerland</v>
      </c>
      <c r="AG13" s="404">
        <f t="shared" si="65"/>
        <v>1</v>
      </c>
      <c r="AH13" s="405">
        <v>8</v>
      </c>
      <c r="AI13" s="406"/>
      <c r="AJ13" s="412" t="str">
        <f>AJ5</f>
        <v>Pos</v>
      </c>
      <c r="AK13" s="413"/>
      <c r="AL13" s="414" t="str">
        <f t="shared" ref="AL13:AT13" si="66">AL5</f>
        <v>Nation</v>
      </c>
      <c r="AM13" s="413" t="str">
        <f t="shared" si="66"/>
        <v>Pts</v>
      </c>
      <c r="AN13" s="413" t="str">
        <f t="shared" si="66"/>
        <v>P</v>
      </c>
      <c r="AO13" s="413" t="str">
        <f t="shared" si="66"/>
        <v>W</v>
      </c>
      <c r="AP13" s="413" t="str">
        <f t="shared" si="66"/>
        <v>D</v>
      </c>
      <c r="AQ13" s="413" t="str">
        <f t="shared" si="66"/>
        <v>L</v>
      </c>
      <c r="AR13" s="413" t="str">
        <f t="shared" si="66"/>
        <v>F</v>
      </c>
      <c r="AS13" s="413" t="str">
        <f t="shared" si="66"/>
        <v>A</v>
      </c>
      <c r="AT13" s="415" t="str">
        <f t="shared" si="66"/>
        <v>GD</v>
      </c>
      <c r="AU13" s="467">
        <f>COUNTIF(AU14:AU17,"&gt;1")</f>
        <v>0</v>
      </c>
      <c r="AV13" s="416"/>
      <c r="AW13" s="471"/>
      <c r="AX13" s="471"/>
      <c r="AY13" s="417" t="str">
        <f>AL13</f>
        <v>Nation</v>
      </c>
      <c r="AZ13" s="418" t="str">
        <f>+Idiomas!$D$67</f>
        <v>Deducted Points</v>
      </c>
      <c r="BA13" s="378"/>
      <c r="BC13" s="9" t="str">
        <f>+INDEX(T_Equipos[Grupo],MATCH(WORLDCUP!BD13,T_Equipos[NombreEquipo],0))</f>
        <v>B</v>
      </c>
      <c r="BD13" s="9" t="str">
        <f>+Equipos!B9</f>
        <v>Switzerland</v>
      </c>
      <c r="BE13" s="9">
        <f t="shared" si="16"/>
        <v>9</v>
      </c>
      <c r="BF13" s="9">
        <f t="shared" si="17"/>
        <v>3</v>
      </c>
      <c r="BG13" s="9">
        <f t="shared" si="18"/>
        <v>3</v>
      </c>
      <c r="BH13" s="9">
        <f t="shared" si="19"/>
        <v>0</v>
      </c>
      <c r="BI13" s="9">
        <f t="shared" si="20"/>
        <v>0</v>
      </c>
      <c r="BJ13" s="9">
        <f t="shared" si="21"/>
        <v>5</v>
      </c>
      <c r="BK13" s="9">
        <f t="shared" si="22"/>
        <v>0</v>
      </c>
      <c r="BL13" s="9">
        <f t="shared" si="23"/>
        <v>5</v>
      </c>
      <c r="BM13" s="9" t="str">
        <f t="shared" si="24"/>
        <v>1B</v>
      </c>
      <c r="BN13" s="9" t="str">
        <f t="shared" si="25"/>
        <v>1B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9</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v>
      </c>
      <c r="BU13" s="9" t="str">
        <f t="shared" si="28"/>
        <v>-</v>
      </c>
      <c r="BV13" s="9" t="str">
        <f t="shared" si="29"/>
        <v>-</v>
      </c>
      <c r="BW13" s="9" t="str">
        <f t="shared" si="30"/>
        <v>-</v>
      </c>
      <c r="BX13" s="9" t="str">
        <f t="shared" si="31"/>
        <v>-</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v>
      </c>
      <c r="CA13" s="9" t="str">
        <f t="shared" si="32"/>
        <v>-</v>
      </c>
      <c r="CB13" s="9" t="str">
        <f t="shared" si="33"/>
        <v>-</v>
      </c>
      <c r="CC13" s="9" t="str">
        <f t="shared" si="34"/>
        <v>-</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v>
      </c>
      <c r="CF13" s="9" t="str">
        <f t="shared" si="35"/>
        <v>-</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v>
      </c>
      <c r="CI13" s="9" t="str">
        <f t="shared" si="36"/>
        <v>-</v>
      </c>
      <c r="CJ13" s="9" t="str">
        <f t="shared" si="37"/>
        <v>-</v>
      </c>
      <c r="CK13" s="9" t="str">
        <f t="shared" si="38"/>
        <v>-</v>
      </c>
      <c r="CL13" s="9" t="str">
        <f t="shared" si="39"/>
        <v>-</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v>
      </c>
      <c r="CO13" s="9" t="str">
        <f t="shared" si="40"/>
        <v>-</v>
      </c>
      <c r="CP13" s="9" t="str">
        <f t="shared" si="41"/>
        <v>-</v>
      </c>
      <c r="CQ13" s="9" t="str">
        <f t="shared" si="42"/>
        <v>-</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v>
      </c>
      <c r="CT13" s="9" t="str">
        <f t="shared" si="43"/>
        <v>-</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v>
      </c>
      <c r="CW13" s="9" t="str">
        <f t="shared" si="44"/>
        <v>-</v>
      </c>
      <c r="CX13" s="9">
        <f>CU13+COUNTIFS($CV$6:$CV$53,CV13,$CW$6:CW$53,"&gt;"&amp;CW13,$BC$6:$BC$53,INDEX(T_Equipos[Grupo],MATCH(BD13,T_Equipos[NombreEquipo],0)))</f>
        <v>1</v>
      </c>
      <c r="CY13" s="9" t="str">
        <f>IF(COUNTIFS($CX$6:$CX$53,CX13,$BC$6:$BC$53,INDEX(T_Equipos[Grupo],MATCH(BD13,T_Equipos[NombreEquipo],0)))=1,"-","P."&amp;CX13&amp;" ("&amp;COUNTIFS($CX$6:$CX$53,CX13,$BC$6:$BC$53,INDEX(T_Equipos[Grupo],MATCH(BD13,T_Equipos[NombreEquipo],0)))&amp;")")</f>
        <v>-</v>
      </c>
      <c r="CZ13" s="9" t="str">
        <f t="shared" si="45"/>
        <v>-</v>
      </c>
      <c r="DA13" s="9">
        <f>CX13+COUNTIFS($CY$6:$CY$53,CY13,$CZ$6:CZ$53,"&gt;"&amp;CZ13,$BC$6:$BC$53,INDEX(T_Equipos[Grupo],MATCH(BD13,T_Equipos[NombreEquipo],0)))</f>
        <v>1</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1</v>
      </c>
      <c r="DE13" s="9"/>
      <c r="DF13" s="9">
        <f t="shared" si="46"/>
        <v>1</v>
      </c>
      <c r="DG13" s="9" t="str">
        <f>IF(DB13="-","-",COUNTIFS(DF$6:DF$53,"&lt;"&amp;DF13,$BC$6:$BC$53,INDEX(T_Equipos[Grupo],MATCH(BD13,T_Equipos[NombreEquipo],0))))</f>
        <v>-</v>
      </c>
      <c r="DH13" s="9">
        <f>DA13+COUNTIFS(DB$6:DB$53,DB13,DG$6:DG$53,"&lt;"&amp;DG13,$BC$6:$BC$53,INDEX(T_Equipos[Grupo],MATCH(BD13,T_Equipos[NombreEquipo],0)))</f>
        <v>1</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v>
      </c>
      <c r="F14" s="8" t="str">
        <f t="shared" si="54"/>
        <v>-</v>
      </c>
      <c r="H14" s="8" t="str">
        <f t="shared" si="55"/>
        <v>-</v>
      </c>
      <c r="I14" s="8" t="str">
        <f t="shared" si="56"/>
        <v>-</v>
      </c>
      <c r="K14" s="8" t="str">
        <f t="shared" si="57"/>
        <v>-</v>
      </c>
      <c r="L14" s="8" t="str">
        <f t="shared" si="58"/>
        <v>-</v>
      </c>
      <c r="N14" s="8" t="str">
        <f t="shared" si="59"/>
        <v>-</v>
      </c>
      <c r="O14" s="8" t="str">
        <f t="shared" si="60"/>
        <v>-</v>
      </c>
      <c r="Q14" s="8" t="str">
        <f t="shared" si="61"/>
        <v>-</v>
      </c>
      <c r="R14" s="8" t="str">
        <f t="shared" si="62"/>
        <v>-</v>
      </c>
      <c r="T14" s="8" t="str">
        <f t="shared" si="63"/>
        <v>-</v>
      </c>
      <c r="U14" s="8" t="str">
        <f t="shared" si="64"/>
        <v>-</v>
      </c>
      <c r="V14" s="379"/>
      <c r="W14" s="607"/>
      <c r="X14" s="397">
        <f>Horarios!C14</f>
        <v>46191.625</v>
      </c>
      <c r="Y14" s="398">
        <f>Horarios!C14</f>
        <v>46191.625</v>
      </c>
      <c r="Z14" s="399" t="str">
        <f>$Z$6</f>
        <v>R2</v>
      </c>
      <c r="AA14" s="400" t="str">
        <f>A16</f>
        <v>Switzerland</v>
      </c>
      <c r="AB14" s="401" t="str">
        <f t="array" aca="1" ref="AB14" ca="1">Ver_flag_local</f>
        <v/>
      </c>
      <c r="AC14" s="15">
        <v>2</v>
      </c>
      <c r="AD14" s="16">
        <v>0</v>
      </c>
      <c r="AE14" s="402" t="str">
        <f t="array" aca="1" ref="AE14" ca="1">Ver_flag_visit</f>
        <v/>
      </c>
      <c r="AF14" s="403" t="str">
        <f>A14</f>
        <v>Bosnia and Herzegovina</v>
      </c>
      <c r="AG14" s="404">
        <f t="shared" si="65"/>
        <v>1</v>
      </c>
      <c r="AH14" s="405">
        <v>26</v>
      </c>
      <c r="AI14" s="406" t="str">
        <f>AJ14&amp;$B$12</f>
        <v>1B</v>
      </c>
      <c r="AJ14" s="472">
        <v>1</v>
      </c>
      <c r="AK14" s="473" t="str">
        <f t="array" aca="1" ref="AK14" ca="1">Ver_flag_visit</f>
        <v/>
      </c>
      <c r="AL14" s="421" t="str">
        <f>IFERROR(INDEX($BD$6:$BD$53,MATCH(AI14,$BN$6:$BN$53,0)),"")</f>
        <v>Switzerland</v>
      </c>
      <c r="AM14" s="422">
        <f t="shared" ref="AM14:AT17" si="67">INDEX($BE$6:$BN$53,MATCH($AL14,$BD$6:$BD$53,0),MATCH(AM$5,$BE$5:$BN$5,0))</f>
        <v>9</v>
      </c>
      <c r="AN14" s="423">
        <f t="shared" si="67"/>
        <v>3</v>
      </c>
      <c r="AO14" s="423">
        <f t="shared" si="67"/>
        <v>3</v>
      </c>
      <c r="AP14" s="423">
        <f t="shared" si="67"/>
        <v>0</v>
      </c>
      <c r="AQ14" s="423">
        <f t="shared" si="67"/>
        <v>0</v>
      </c>
      <c r="AR14" s="423">
        <f t="shared" si="67"/>
        <v>5</v>
      </c>
      <c r="AS14" s="423">
        <f t="shared" si="67"/>
        <v>0</v>
      </c>
      <c r="AT14" s="474">
        <f t="shared" si="67"/>
        <v>5</v>
      </c>
      <c r="AU14" s="425">
        <f>INDEX($DL$6:$DL$53,MATCH(AI14,$DP$6:$DP$53,0))</f>
        <v>1</v>
      </c>
      <c r="AV14" s="426" t="str">
        <f>INDEX($BD$6:$BD$53,MATCH(AI14,$BM$6:$BM$53,0))</f>
        <v>Switzerland</v>
      </c>
      <c r="AW14" s="579"/>
      <c r="AX14" s="428"/>
      <c r="AY14" s="429" t="str">
        <f>+A13</f>
        <v>Canada</v>
      </c>
      <c r="AZ14" s="430"/>
      <c r="BA14" s="378"/>
      <c r="BC14" s="9" t="str">
        <f>+INDEX(T_Equipos[Grupo],MATCH(WORLDCUP!BD14,T_Equipos[NombreEquipo],0))</f>
        <v>C</v>
      </c>
      <c r="BD14" s="9" t="str">
        <f>+Equipos!B10</f>
        <v>Brazil</v>
      </c>
      <c r="BE14" s="9">
        <f t="shared" si="16"/>
        <v>9</v>
      </c>
      <c r="BF14" s="9">
        <f t="shared" si="17"/>
        <v>3</v>
      </c>
      <c r="BG14" s="9">
        <f t="shared" si="18"/>
        <v>3</v>
      </c>
      <c r="BH14" s="9">
        <f t="shared" si="19"/>
        <v>0</v>
      </c>
      <c r="BI14" s="9">
        <f t="shared" si="20"/>
        <v>0</v>
      </c>
      <c r="BJ14" s="9">
        <f t="shared" si="21"/>
        <v>7</v>
      </c>
      <c r="BK14" s="9">
        <f t="shared" si="22"/>
        <v>2</v>
      </c>
      <c r="BL14" s="9">
        <f t="shared" si="23"/>
        <v>5</v>
      </c>
      <c r="BM14" s="9" t="str">
        <f t="shared" si="24"/>
        <v>1C</v>
      </c>
      <c r="BN14" s="9" t="str">
        <f t="shared" si="25"/>
        <v>1C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9</v>
      </c>
      <c r="BS14" s="9">
        <f>BP14+COUNTIFS($BQ$6:$BQ$53,BQ14,$BR$6:BR$53,"&gt;"&amp;BR14,$BC$6:$BC$53,INDEX(T_Equipos[Grupo],MATCH(BD14,T_Equipos[NombreEquipo],0)))</f>
        <v>1</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1</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1</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1</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1</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1</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1</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1</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1</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1</v>
      </c>
      <c r="DE14" s="9"/>
      <c r="DF14" s="9">
        <f t="shared" si="46"/>
        <v>1</v>
      </c>
      <c r="DG14" s="9" t="str">
        <f>IF(DB14="-","-",COUNTIFS(DF$6:DF$53,"&lt;"&amp;DF14,$BC$6:$BC$53,INDEX(T_Equipos[Grupo],MATCH(BD14,T_Equipos[NombreEquipo],0))))</f>
        <v>-</v>
      </c>
      <c r="DH14" s="9">
        <f>DA14+COUNTIFS(DB$6:DB$53,DB14,DG$6:DG$53,"&lt;"&amp;DG14,$BC$6:$BC$53,INDEX(T_Equipos[Grupo],MATCH(BD14,T_Equipos[NombreEquipo],0)))</f>
        <v>1</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Brazil</v>
      </c>
    </row>
    <row r="15" spans="1:121" ht="16.149999999999999" customHeight="1">
      <c r="A15" s="8" t="str">
        <f>+Equipos!B8</f>
        <v>Qatar</v>
      </c>
      <c r="D15" s="8" t="str">
        <f t="shared" si="52"/>
        <v>Local</v>
      </c>
      <c r="E15" s="8" t="str">
        <f t="shared" si="53"/>
        <v>-</v>
      </c>
      <c r="F15" s="8" t="str">
        <f t="shared" si="54"/>
        <v>-</v>
      </c>
      <c r="H15" s="8" t="str">
        <f t="shared" si="55"/>
        <v>-</v>
      </c>
      <c r="I15" s="8" t="str">
        <f t="shared" si="56"/>
        <v>-</v>
      </c>
      <c r="K15" s="8" t="str">
        <f t="shared" si="57"/>
        <v>-</v>
      </c>
      <c r="L15" s="8" t="str">
        <f t="shared" si="58"/>
        <v>-</v>
      </c>
      <c r="N15" s="8" t="str">
        <f t="shared" si="59"/>
        <v>-</v>
      </c>
      <c r="O15" s="8" t="str">
        <f t="shared" si="60"/>
        <v>-</v>
      </c>
      <c r="Q15" s="8" t="str">
        <f t="shared" si="61"/>
        <v>-</v>
      </c>
      <c r="R15" s="8" t="str">
        <f t="shared" si="62"/>
        <v>-</v>
      </c>
      <c r="T15" s="8" t="str">
        <f t="shared" si="63"/>
        <v>-</v>
      </c>
      <c r="U15" s="8" t="str">
        <f t="shared" si="64"/>
        <v>-</v>
      </c>
      <c r="V15" s="379"/>
      <c r="W15" s="607"/>
      <c r="X15" s="397">
        <f>Horarios!C15</f>
        <v>46191.75</v>
      </c>
      <c r="Y15" s="398">
        <f>Horarios!C15</f>
        <v>46191.75</v>
      </c>
      <c r="Z15" s="399" t="str">
        <f>$Z$6</f>
        <v>R2</v>
      </c>
      <c r="AA15" s="400" t="str">
        <f>A13</f>
        <v>Canada</v>
      </c>
      <c r="AB15" s="401" t="str">
        <f t="array" aca="1" ref="AB15" ca="1">Ver_flag_local</f>
        <v/>
      </c>
      <c r="AC15" s="15">
        <v>1</v>
      </c>
      <c r="AD15" s="16">
        <v>0</v>
      </c>
      <c r="AE15" s="402" t="str">
        <f t="array" aca="1" ref="AE15" ca="1">Ver_flag_visit</f>
        <v/>
      </c>
      <c r="AF15" s="403" t="str">
        <f>A15</f>
        <v>Qatar</v>
      </c>
      <c r="AG15" s="404">
        <f t="shared" si="65"/>
        <v>1</v>
      </c>
      <c r="AH15" s="405">
        <v>27</v>
      </c>
      <c r="AI15" s="406" t="str">
        <f>AJ15&amp;$B$12</f>
        <v>2B</v>
      </c>
      <c r="AJ15" s="475">
        <v>2</v>
      </c>
      <c r="AK15" s="476" t="str">
        <f t="array" aca="1" ref="AK15" ca="1">Ver_flag_visit</f>
        <v/>
      </c>
      <c r="AL15" s="433" t="str">
        <f>IFERROR(INDEX($BD$6:$BD$53,MATCH(AI15,$BN$6:$BN$53,0)),"")</f>
        <v>Canada</v>
      </c>
      <c r="AM15" s="434">
        <f t="shared" si="67"/>
        <v>6</v>
      </c>
      <c r="AN15" s="435">
        <f t="shared" si="67"/>
        <v>3</v>
      </c>
      <c r="AO15" s="435">
        <f t="shared" si="67"/>
        <v>2</v>
      </c>
      <c r="AP15" s="435">
        <f t="shared" si="67"/>
        <v>0</v>
      </c>
      <c r="AQ15" s="435">
        <f t="shared" si="67"/>
        <v>1</v>
      </c>
      <c r="AR15" s="435">
        <f t="shared" si="67"/>
        <v>3</v>
      </c>
      <c r="AS15" s="435">
        <f t="shared" si="67"/>
        <v>2</v>
      </c>
      <c r="AT15" s="477">
        <f t="shared" si="67"/>
        <v>1</v>
      </c>
      <c r="AU15" s="425">
        <f>INDEX($DL$6:$DL$53,MATCH(AI15,$DP$6:$DP$53,0))</f>
        <v>1</v>
      </c>
      <c r="AV15" s="426" t="str">
        <f>INDEX($BD$6:$BD$53,MATCH(AI15,$BM$6:$BM$53,0))</f>
        <v>Canada</v>
      </c>
      <c r="AW15" s="579"/>
      <c r="AX15" s="428"/>
      <c r="AY15" s="437" t="str">
        <f>+A14</f>
        <v>Bosnia and Herzegovina</v>
      </c>
      <c r="AZ15" s="438"/>
      <c r="BA15" s="378"/>
      <c r="BC15" s="9" t="str">
        <f>+INDEX(T_Equipos[Grupo],MATCH(WORLDCUP!BD15,T_Equipos[NombreEquipo],0))</f>
        <v>C</v>
      </c>
      <c r="BD15" s="9" t="str">
        <f>+Equipos!B11</f>
        <v>Morocco</v>
      </c>
      <c r="BE15" s="9">
        <f t="shared" si="16"/>
        <v>6</v>
      </c>
      <c r="BF15" s="9">
        <f t="shared" si="17"/>
        <v>3</v>
      </c>
      <c r="BG15" s="9">
        <f t="shared" si="18"/>
        <v>2</v>
      </c>
      <c r="BH15" s="9">
        <f t="shared" si="19"/>
        <v>0</v>
      </c>
      <c r="BI15" s="9">
        <f t="shared" si="20"/>
        <v>1</v>
      </c>
      <c r="BJ15" s="9">
        <f t="shared" si="21"/>
        <v>5</v>
      </c>
      <c r="BK15" s="9">
        <f t="shared" si="22"/>
        <v>2</v>
      </c>
      <c r="BL15" s="9">
        <f t="shared" si="23"/>
        <v>3</v>
      </c>
      <c r="BM15" s="9" t="str">
        <f t="shared" si="24"/>
        <v>2C</v>
      </c>
      <c r="BN15" s="9" t="str">
        <f t="shared" si="25"/>
        <v>2C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6</v>
      </c>
      <c r="BS15" s="9">
        <f>BP15+COUNTIFS($BQ$6:$BQ$53,BQ15,$BR$6:BR$53,"&gt;"&amp;BR15,$BC$6:$BC$53,INDEX(T_Equipos[Grupo],MATCH(BD15,T_Equipos[NombreEquipo],0)))</f>
        <v>2</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2</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2</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2</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2</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2</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2</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2</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2</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2</v>
      </c>
      <c r="DE15" s="9"/>
      <c r="DF15" s="9">
        <f t="shared" si="46"/>
        <v>2</v>
      </c>
      <c r="DG15" s="9" t="str">
        <f>IF(DB15="-","-",COUNTIFS(DF$6:DF$53,"&lt;"&amp;DF15,$BC$6:$BC$53,INDEX(T_Equipos[Grupo],MATCH(BD15,T_Equipos[NombreEquipo],0))))</f>
        <v>-</v>
      </c>
      <c r="DH15" s="9">
        <f>DA15+COUNTIFS(DB$6:DB$53,DB15,DG$6:DG$53,"&lt;"&amp;DG15,$BC$6:$BC$53,INDEX(T_Equipos[Grupo],MATCH(BD15,T_Equipos[NombreEquipo],0)))</f>
        <v>2</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Morocco</v>
      </c>
    </row>
    <row r="16" spans="1:121" ht="16.149999999999999" customHeight="1">
      <c r="A16" s="8" t="str">
        <f>+Equipos!B9</f>
        <v>Switzerland</v>
      </c>
      <c r="D16" s="8" t="str">
        <f t="shared" si="52"/>
        <v>Local</v>
      </c>
      <c r="E16" s="8" t="str">
        <f t="shared" si="53"/>
        <v>-</v>
      </c>
      <c r="F16" s="8" t="str">
        <f t="shared" si="54"/>
        <v>-</v>
      </c>
      <c r="H16" s="8" t="str">
        <f t="shared" si="55"/>
        <v>-</v>
      </c>
      <c r="I16" s="8" t="str">
        <f t="shared" si="56"/>
        <v>-</v>
      </c>
      <c r="K16" s="8" t="str">
        <f t="shared" si="57"/>
        <v>-</v>
      </c>
      <c r="L16" s="8" t="str">
        <f t="shared" si="58"/>
        <v>-</v>
      </c>
      <c r="N16" s="8" t="str">
        <f t="shared" si="59"/>
        <v>-</v>
      </c>
      <c r="O16" s="8" t="str">
        <f t="shared" si="60"/>
        <v>-</v>
      </c>
      <c r="Q16" s="8" t="str">
        <f t="shared" si="61"/>
        <v>-</v>
      </c>
      <c r="R16" s="8" t="str">
        <f t="shared" si="62"/>
        <v>-</v>
      </c>
      <c r="T16" s="8" t="str">
        <f t="shared" si="63"/>
        <v>-</v>
      </c>
      <c r="U16" s="8" t="str">
        <f t="shared" si="64"/>
        <v>-</v>
      </c>
      <c r="V16" s="379"/>
      <c r="W16" s="607"/>
      <c r="X16" s="397">
        <f>Horarios!C16</f>
        <v>46197.625</v>
      </c>
      <c r="Y16" s="398">
        <f>Horarios!C16</f>
        <v>46197.625</v>
      </c>
      <c r="Z16" s="399" t="str">
        <f>$Z$8</f>
        <v>R3</v>
      </c>
      <c r="AA16" s="400" t="str">
        <f>A16</f>
        <v>Switzerland</v>
      </c>
      <c r="AB16" s="401" t="str">
        <f t="array" aca="1" ref="AB16" ca="1">Ver_flag_local</f>
        <v/>
      </c>
      <c r="AC16" s="15">
        <v>2</v>
      </c>
      <c r="AD16" s="16">
        <v>0</v>
      </c>
      <c r="AE16" s="402" t="str">
        <f t="array" aca="1" ref="AE16" ca="1">Ver_flag_visit</f>
        <v/>
      </c>
      <c r="AF16" s="403" t="str">
        <f>A13</f>
        <v>Canada</v>
      </c>
      <c r="AG16" s="404">
        <f t="shared" si="65"/>
        <v>1</v>
      </c>
      <c r="AH16" s="405">
        <v>51</v>
      </c>
      <c r="AI16" s="406" t="str">
        <f>AJ16&amp;$B$12</f>
        <v>3B</v>
      </c>
      <c r="AJ16" s="475">
        <v>3</v>
      </c>
      <c r="AK16" s="476" t="str">
        <f t="array" aca="1" ref="AK16" ca="1">Ver_flag_visit</f>
        <v/>
      </c>
      <c r="AL16" s="433" t="str">
        <f>IFERROR(INDEX($BD$6:$BD$53,MATCH(AI16,$BN$6:$BN$53,0)),"")</f>
        <v>Bosnia and Herzegovina</v>
      </c>
      <c r="AM16" s="434">
        <f t="shared" si="67"/>
        <v>3</v>
      </c>
      <c r="AN16" s="435">
        <f t="shared" si="67"/>
        <v>3</v>
      </c>
      <c r="AO16" s="435">
        <f t="shared" si="67"/>
        <v>1</v>
      </c>
      <c r="AP16" s="435">
        <f t="shared" si="67"/>
        <v>0</v>
      </c>
      <c r="AQ16" s="435">
        <f t="shared" si="67"/>
        <v>2</v>
      </c>
      <c r="AR16" s="435">
        <f t="shared" si="67"/>
        <v>1</v>
      </c>
      <c r="AS16" s="435">
        <f t="shared" si="67"/>
        <v>4</v>
      </c>
      <c r="AT16" s="477">
        <f t="shared" si="67"/>
        <v>-3</v>
      </c>
      <c r="AU16" s="425">
        <f>INDEX($DL$6:$DL$53,MATCH(AI16,$DP$6:$DP$53,0))</f>
        <v>1</v>
      </c>
      <c r="AV16" s="426" t="str">
        <f>INDEX($BD$6:$BD$53,MATCH(AI16,$BM$6:$BM$53,0))</f>
        <v>Bosnia and Herzegovina</v>
      </c>
      <c r="AW16" s="579"/>
      <c r="AX16" s="428"/>
      <c r="AY16" s="429" t="str">
        <f>+A15</f>
        <v>Qatar</v>
      </c>
      <c r="AZ16" s="430"/>
      <c r="BA16" s="378"/>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7</v>
      </c>
      <c r="BL16" s="9">
        <f t="shared" si="23"/>
        <v>-7</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Scotland</v>
      </c>
    </row>
    <row r="17" spans="1:121" ht="16.149999999999999" customHeight="1" thickBot="1">
      <c r="D17" s="8" t="str">
        <f t="shared" si="52"/>
        <v>Local</v>
      </c>
      <c r="E17" s="8" t="str">
        <f t="shared" si="53"/>
        <v>-</v>
      </c>
      <c r="F17" s="8" t="str">
        <f t="shared" si="54"/>
        <v>-</v>
      </c>
      <c r="H17" s="8" t="str">
        <f t="shared" si="55"/>
        <v>-</v>
      </c>
      <c r="I17" s="8" t="str">
        <f t="shared" si="56"/>
        <v>-</v>
      </c>
      <c r="K17" s="8" t="str">
        <f t="shared" si="57"/>
        <v>-</v>
      </c>
      <c r="L17" s="8" t="str">
        <f t="shared" si="58"/>
        <v>-</v>
      </c>
      <c r="N17" s="8" t="str">
        <f t="shared" si="59"/>
        <v>-</v>
      </c>
      <c r="O17" s="8" t="str">
        <f t="shared" si="60"/>
        <v>-</v>
      </c>
      <c r="Q17" s="8" t="str">
        <f t="shared" si="61"/>
        <v>-</v>
      </c>
      <c r="R17" s="8" t="str">
        <f t="shared" si="62"/>
        <v>-</v>
      </c>
      <c r="T17" s="8" t="str">
        <f t="shared" si="63"/>
        <v>-</v>
      </c>
      <c r="U17" s="8" t="str">
        <f t="shared" si="64"/>
        <v>-</v>
      </c>
      <c r="V17" s="379"/>
      <c r="W17" s="608"/>
      <c r="X17" s="439">
        <f>Horarios!C17</f>
        <v>46197.625</v>
      </c>
      <c r="Y17" s="440">
        <f>Horarios!C17</f>
        <v>46197.625</v>
      </c>
      <c r="Z17" s="441" t="str">
        <f>$Z$8</f>
        <v>R3</v>
      </c>
      <c r="AA17" s="442" t="str">
        <f>A14</f>
        <v>Bosnia and Herzegovina</v>
      </c>
      <c r="AB17" s="443" t="str">
        <f t="array" aca="1" ref="AB17" ca="1">Ver_flag_local</f>
        <v/>
      </c>
      <c r="AC17" s="17">
        <v>1</v>
      </c>
      <c r="AD17" s="18">
        <v>0</v>
      </c>
      <c r="AE17" s="444" t="str">
        <f t="array" aca="1" ref="AE17" ca="1">Ver_flag_visit</f>
        <v/>
      </c>
      <c r="AF17" s="445" t="str">
        <f>A15</f>
        <v>Qatar</v>
      </c>
      <c r="AG17" s="404">
        <f t="shared" si="65"/>
        <v>1</v>
      </c>
      <c r="AH17" s="405">
        <v>52</v>
      </c>
      <c r="AI17" s="406" t="str">
        <f>AJ17&amp;$B$12</f>
        <v>4B</v>
      </c>
      <c r="AJ17" s="478">
        <v>4</v>
      </c>
      <c r="AK17" s="479" t="str">
        <f t="array" aca="1" ref="AK17" ca="1">Ver_flag_visit</f>
        <v/>
      </c>
      <c r="AL17" s="480" t="str">
        <f>IFERROR(INDEX($BD$6:$BD$53,MATCH(AI17,$BN$6:$BN$53,0)),"")</f>
        <v>Qatar</v>
      </c>
      <c r="AM17" s="481">
        <f t="shared" si="67"/>
        <v>0</v>
      </c>
      <c r="AN17" s="482">
        <f t="shared" si="67"/>
        <v>3</v>
      </c>
      <c r="AO17" s="482">
        <f t="shared" si="67"/>
        <v>0</v>
      </c>
      <c r="AP17" s="482">
        <f t="shared" si="67"/>
        <v>0</v>
      </c>
      <c r="AQ17" s="482">
        <f t="shared" si="67"/>
        <v>3</v>
      </c>
      <c r="AR17" s="482">
        <f t="shared" si="67"/>
        <v>0</v>
      </c>
      <c r="AS17" s="482">
        <f t="shared" si="67"/>
        <v>3</v>
      </c>
      <c r="AT17" s="483">
        <f t="shared" si="67"/>
        <v>-3</v>
      </c>
      <c r="AU17" s="425">
        <f>INDEX($DL$6:$DL$53,MATCH(AI17,$DP$6:$DP$53,0))</f>
        <v>1</v>
      </c>
      <c r="AV17" s="426" t="str">
        <f>INDEX($BD$6:$BD$53,MATCH(AI17,$BM$6:$BM$53,0))</f>
        <v>Qatar</v>
      </c>
      <c r="AW17" s="579"/>
      <c r="AX17" s="428"/>
      <c r="AY17" s="452" t="str">
        <f>+A16</f>
        <v>Switzerland</v>
      </c>
      <c r="AZ17" s="453"/>
      <c r="BA17" s="378"/>
      <c r="BC17" s="9" t="str">
        <f>+INDEX(T_Equipos[Grupo],MATCH(WORLDCUP!BD17,T_Equipos[NombreEquipo],0))</f>
        <v>C</v>
      </c>
      <c r="BD17" s="9" t="str">
        <f>+Equipos!B13</f>
        <v>Scotland</v>
      </c>
      <c r="BE17" s="9">
        <f t="shared" si="16"/>
        <v>3</v>
      </c>
      <c r="BF17" s="9">
        <f t="shared" si="17"/>
        <v>3</v>
      </c>
      <c r="BG17" s="9">
        <f t="shared" si="18"/>
        <v>1</v>
      </c>
      <c r="BH17" s="9">
        <f t="shared" si="19"/>
        <v>0</v>
      </c>
      <c r="BI17" s="9">
        <f t="shared" si="20"/>
        <v>2</v>
      </c>
      <c r="BJ17" s="9">
        <f t="shared" si="21"/>
        <v>3</v>
      </c>
      <c r="BK17" s="9">
        <f t="shared" si="22"/>
        <v>4</v>
      </c>
      <c r="BL17" s="9">
        <f t="shared" si="23"/>
        <v>-1</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3</v>
      </c>
      <c r="BS17" s="9">
        <f>BP17+COUNTIFS($BQ$6:$BQ$53,BQ17,$BR$6:BR$53,"&gt;"&amp;BR17,$BC$6:$BC$53,INDEX(T_Equipos[Grupo],MATCH(BD17,T_Equipos[NombreEquipo],0)))</f>
        <v>3</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3</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3</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3</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3</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3</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3</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3</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79"/>
      <c r="W18" s="454"/>
      <c r="X18" s="455"/>
      <c r="Y18" s="454"/>
      <c r="Z18" s="456"/>
      <c r="AA18" s="457"/>
      <c r="AB18" s="458"/>
      <c r="AC18" s="459"/>
      <c r="AD18" s="459"/>
      <c r="AE18" s="458"/>
      <c r="AF18" s="460"/>
      <c r="AG18" s="484"/>
      <c r="AH18" s="405"/>
      <c r="AI18" s="374"/>
      <c r="AJ18" s="461"/>
      <c r="AK18" s="462"/>
      <c r="AL18" s="395"/>
      <c r="AM18" s="463"/>
      <c r="AN18" s="461"/>
      <c r="AO18" s="461"/>
      <c r="AP18" s="461"/>
      <c r="AQ18" s="461"/>
      <c r="AR18" s="461"/>
      <c r="AS18" s="461"/>
      <c r="AT18" s="461"/>
      <c r="AU18" s="425"/>
      <c r="AV18" s="464"/>
      <c r="AW18" s="427"/>
      <c r="AX18" s="428"/>
      <c r="AY18" s="454"/>
      <c r="AZ18" s="455"/>
      <c r="BA18" s="378"/>
      <c r="BC18" s="9" t="str">
        <f>+INDEX(T_Equipos[Grupo],MATCH(WORLDCUP!BD18,T_Equipos[NombreEquipo],0))</f>
        <v>D</v>
      </c>
      <c r="BD18" s="9" t="str">
        <f>+Equipos!B14</f>
        <v>United States</v>
      </c>
      <c r="BE18" s="9">
        <f t="shared" si="16"/>
        <v>6</v>
      </c>
      <c r="BF18" s="9">
        <f t="shared" si="17"/>
        <v>3</v>
      </c>
      <c r="BG18" s="9">
        <f t="shared" si="18"/>
        <v>2</v>
      </c>
      <c r="BH18" s="9">
        <f t="shared" si="19"/>
        <v>0</v>
      </c>
      <c r="BI18" s="9">
        <f t="shared" si="20"/>
        <v>1</v>
      </c>
      <c r="BJ18" s="9">
        <f t="shared" si="21"/>
        <v>2</v>
      </c>
      <c r="BK18" s="9">
        <f t="shared" si="22"/>
        <v>2</v>
      </c>
      <c r="BL18" s="9">
        <f t="shared" si="23"/>
        <v>0</v>
      </c>
      <c r="BM18" s="9" t="str">
        <f t="shared" si="24"/>
        <v>2D</v>
      </c>
      <c r="BN18" s="9" t="str">
        <f t="shared" si="25"/>
        <v>2D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6</v>
      </c>
      <c r="BS18" s="9">
        <f>BP18+COUNTIFS($BQ$6:$BQ$53,BQ18,$BR$6:BR$53,"&gt;"&amp;BR18,$BC$6:$BC$53,INDEX(T_Equipos[Grupo],MATCH(BD18,T_Equipos[NombreEquipo],0)))</f>
        <v>2</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2</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2</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2</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2</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2</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2</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2</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2</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2</v>
      </c>
      <c r="DE18" s="9"/>
      <c r="DF18" s="9">
        <f t="shared" si="46"/>
        <v>2</v>
      </c>
      <c r="DG18" s="9" t="str">
        <f>IF(DB18="-","-",COUNTIFS(DF$6:DF$53,"&lt;"&amp;DF18,$BC$6:$BC$53,INDEX(T_Equipos[Grupo],MATCH(BD18,T_Equipos[NombreEquipo],0))))</f>
        <v>-</v>
      </c>
      <c r="DH18" s="9">
        <f>DA18+COUNTIFS(DB$6:DB$53,DB18,DG$6:DG$53,"&lt;"&amp;DG18,$BC$6:$BC$53,INDEX(T_Equipos[Grupo],MATCH(BD18,T_Equipos[NombreEquipo],0)))</f>
        <v>2</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Turkey</v>
      </c>
    </row>
    <row r="19" spans="1:121" ht="16.149999999999999" customHeight="1" thickBot="1">
      <c r="V19" s="379"/>
      <c r="W19" s="388"/>
      <c r="X19" s="389" t="str">
        <f>X3</f>
        <v>Date</v>
      </c>
      <c r="Y19" s="389" t="str">
        <f>Y3</f>
        <v>Hour</v>
      </c>
      <c r="Z19" s="390" t="str">
        <f>Z3</f>
        <v>R</v>
      </c>
      <c r="AA19" s="391" t="str">
        <f>AA3</f>
        <v>Home</v>
      </c>
      <c r="AB19" s="392"/>
      <c r="AC19" s="390" t="str">
        <f>AC3</f>
        <v>Goals</v>
      </c>
      <c r="AD19" s="390" t="str">
        <f>AD3</f>
        <v>Goals</v>
      </c>
      <c r="AE19" s="392"/>
      <c r="AF19" s="393" t="str">
        <f>AF3</f>
        <v>Away</v>
      </c>
      <c r="AG19" s="465"/>
      <c r="AH19" s="405"/>
      <c r="AI19" s="382"/>
      <c r="AJ19" s="395"/>
      <c r="AK19" s="466"/>
      <c r="AL19" s="395"/>
      <c r="AM19" s="395"/>
      <c r="AN19" s="395"/>
      <c r="AO19" s="395"/>
      <c r="AP19" s="395"/>
      <c r="AQ19" s="395"/>
      <c r="AR19" s="395"/>
      <c r="AS19" s="395"/>
      <c r="AT19" s="395"/>
      <c r="AU19" s="467"/>
      <c r="AV19" s="384"/>
      <c r="AW19" s="468"/>
      <c r="AX19" s="469"/>
      <c r="AY19" s="454"/>
      <c r="AZ19" s="455"/>
      <c r="BA19" s="378"/>
      <c r="BC19" s="9" t="str">
        <f>+INDEX(T_Equipos[Grupo],MATCH(WORLDCUP!BD19,T_Equipos[NombreEquipo],0))</f>
        <v>D</v>
      </c>
      <c r="BD19" s="9" t="str">
        <f>+Equipos!B15</f>
        <v>Paraguay</v>
      </c>
      <c r="BE19" s="9">
        <f t="shared" si="16"/>
        <v>4</v>
      </c>
      <c r="BF19" s="9">
        <f t="shared" si="17"/>
        <v>3</v>
      </c>
      <c r="BG19" s="9">
        <f t="shared" si="18"/>
        <v>1</v>
      </c>
      <c r="BH19" s="9">
        <f t="shared" si="19"/>
        <v>1</v>
      </c>
      <c r="BI19" s="9">
        <f t="shared" si="20"/>
        <v>1</v>
      </c>
      <c r="BJ19" s="9">
        <f t="shared" si="21"/>
        <v>3</v>
      </c>
      <c r="BK19" s="9">
        <f t="shared" si="22"/>
        <v>2</v>
      </c>
      <c r="BL19" s="9">
        <f t="shared" si="23"/>
        <v>1</v>
      </c>
      <c r="BM19" s="9" t="str">
        <f t="shared" si="24"/>
        <v>3D</v>
      </c>
      <c r="BN19" s="9" t="str">
        <f t="shared" si="25"/>
        <v>3D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4</v>
      </c>
      <c r="BS19" s="9">
        <f>BP19+COUNTIFS($BQ$6:$BQ$53,BQ19,$BR$6:BR$53,"&gt;"&amp;BR19,$BC$6:$BC$53,INDEX(T_Equipos[Grupo],MATCH(BD19,T_Equipos[NombreEquipo],0)))</f>
        <v>3</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3</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3</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3</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3</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3</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3</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3</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3</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3</v>
      </c>
      <c r="DE19" s="9"/>
      <c r="DF19" s="9">
        <f t="shared" si="46"/>
        <v>3</v>
      </c>
      <c r="DG19" s="9" t="str">
        <f>IF(DB19="-","-",COUNTIFS(DF$6:DF$53,"&lt;"&amp;DF19,$BC$6:$BC$53,INDEX(T_Equipos[Grupo],MATCH(BD19,T_Equipos[NombreEquipo],0))))</f>
        <v>-</v>
      </c>
      <c r="DH19" s="9">
        <f>DA19+COUNTIFS(DB$6:DB$53,DB19,DG$6:DG$53,"&lt;"&amp;DG19,$BC$6:$BC$53,INDEX(T_Equipos[Grupo],MATCH(BD19,T_Equipos[NombreEquipo],0)))</f>
        <v>3</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United States</v>
      </c>
    </row>
    <row r="20" spans="1:121" ht="16.149999999999999" customHeight="1" thickBot="1">
      <c r="A20" s="8" t="s">
        <v>19</v>
      </c>
      <c r="B20" s="8" t="s">
        <v>89</v>
      </c>
      <c r="C20" s="8">
        <f>COUNTIF(Equipos!$C$2:$C$49,WORLDCUP!B20)</f>
        <v>4</v>
      </c>
      <c r="D20" s="8" t="str">
        <f t="shared" ref="D20:D25" si="68">IF(OR(AC20="",AD20=""),"Pendiente",IF(AC20&gt;AD20,"Local",IF(AC20&lt;AD20,"Visitante","Empate")))</f>
        <v>Local</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79"/>
      <c r="W20" s="606" t="s">
        <v>89</v>
      </c>
      <c r="X20" s="397">
        <f>Horarios!C20</f>
        <v>46186.75</v>
      </c>
      <c r="Y20" s="398">
        <f>Horarios!C20</f>
        <v>46186.75</v>
      </c>
      <c r="Z20" s="399" t="str">
        <f>$Z$4</f>
        <v>R1</v>
      </c>
      <c r="AA20" s="400" t="str">
        <f>A21</f>
        <v>Brazil</v>
      </c>
      <c r="AB20" s="401" t="str">
        <f t="array" aca="1" ref="AB20" ca="1">Ver_flag_local</f>
        <v/>
      </c>
      <c r="AC20" s="15">
        <v>2</v>
      </c>
      <c r="AD20" s="16">
        <v>1</v>
      </c>
      <c r="AE20" s="402" t="str">
        <f t="array" aca="1" ref="AE20" ca="1">Ver_flag_visit</f>
        <v/>
      </c>
      <c r="AF20" s="403" t="str">
        <f>A22</f>
        <v>Morocco</v>
      </c>
      <c r="AG20" s="404">
        <f t="shared" ref="AG20:AG25" si="81">IF(NOT(OR(ISBLANK(AC20),ISBLANK(AD20))),1,0)</f>
        <v>1</v>
      </c>
      <c r="AH20" s="405">
        <v>7</v>
      </c>
      <c r="AI20" s="406"/>
      <c r="AJ20" s="407" t="str">
        <f>CONCATENATE(AJ3," ",B20)</f>
        <v>Group C</v>
      </c>
      <c r="AK20" s="408"/>
      <c r="AL20" s="408"/>
      <c r="AM20" s="408"/>
      <c r="AN20" s="408"/>
      <c r="AO20" s="408"/>
      <c r="AP20" s="408"/>
      <c r="AQ20" s="408"/>
      <c r="AR20" s="408"/>
      <c r="AS20" s="408"/>
      <c r="AT20" s="409"/>
      <c r="AU20" s="467"/>
      <c r="AV20" s="410" t="str">
        <f>IF(AU21&gt;0,$AV$3,"")</f>
        <v/>
      </c>
      <c r="AW20" s="471"/>
      <c r="AX20" s="471"/>
      <c r="AY20" s="454"/>
      <c r="AZ20" s="455"/>
      <c r="BA20" s="378"/>
      <c r="BC20" s="9" t="str">
        <f>+INDEX(T_Equipos[Grupo],MATCH(WORLDCUP!BD20,T_Equipos[NombreEquipo],0))</f>
        <v>D</v>
      </c>
      <c r="BD20" s="9" t="str">
        <f>+Equipos!B16</f>
        <v>Australia</v>
      </c>
      <c r="BE20" s="9">
        <f t="shared" si="16"/>
        <v>0</v>
      </c>
      <c r="BF20" s="9">
        <f t="shared" si="17"/>
        <v>3</v>
      </c>
      <c r="BG20" s="9">
        <f t="shared" si="18"/>
        <v>0</v>
      </c>
      <c r="BH20" s="9">
        <f t="shared" si="19"/>
        <v>0</v>
      </c>
      <c r="BI20" s="9">
        <f t="shared" si="20"/>
        <v>3</v>
      </c>
      <c r="BJ20" s="9">
        <f t="shared" si="21"/>
        <v>0</v>
      </c>
      <c r="BK20" s="9">
        <f t="shared" si="22"/>
        <v>5</v>
      </c>
      <c r="BL20" s="9">
        <f t="shared" si="23"/>
        <v>-5</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0</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Paraguay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79"/>
      <c r="W21" s="607"/>
      <c r="X21" s="397">
        <f>Horarios!C21</f>
        <v>46186.875</v>
      </c>
      <c r="Y21" s="398">
        <f>Horarios!C21</f>
        <v>46186.875</v>
      </c>
      <c r="Z21" s="399" t="str">
        <f>$Z$4</f>
        <v>R1</v>
      </c>
      <c r="AA21" s="400" t="str">
        <f>A23</f>
        <v>Haiti</v>
      </c>
      <c r="AB21" s="401" t="str">
        <f t="array" aca="1" ref="AB21" ca="1">Ver_flag_local</f>
        <v/>
      </c>
      <c r="AC21" s="15">
        <v>0</v>
      </c>
      <c r="AD21" s="16">
        <v>2</v>
      </c>
      <c r="AE21" s="402" t="str">
        <f t="array" aca="1" ref="AE21" ca="1">Ver_flag_visit</f>
        <v/>
      </c>
      <c r="AF21" s="403" t="str">
        <f>A24</f>
        <v>Scotland</v>
      </c>
      <c r="AG21" s="404">
        <f t="shared" si="81"/>
        <v>1</v>
      </c>
      <c r="AH21" s="405">
        <v>5</v>
      </c>
      <c r="AI21" s="406"/>
      <c r="AJ21" s="412" t="str">
        <f>AJ5</f>
        <v>Pos</v>
      </c>
      <c r="AK21" s="413"/>
      <c r="AL21" s="414" t="str">
        <f t="shared" ref="AL21:AT21" si="82">AL5</f>
        <v>Nation</v>
      </c>
      <c r="AM21" s="413" t="str">
        <f t="shared" si="82"/>
        <v>Pts</v>
      </c>
      <c r="AN21" s="413" t="str">
        <f t="shared" si="82"/>
        <v>P</v>
      </c>
      <c r="AO21" s="413" t="str">
        <f t="shared" si="82"/>
        <v>W</v>
      </c>
      <c r="AP21" s="413" t="str">
        <f t="shared" si="82"/>
        <v>D</v>
      </c>
      <c r="AQ21" s="413" t="str">
        <f t="shared" si="82"/>
        <v>L</v>
      </c>
      <c r="AR21" s="413" t="str">
        <f t="shared" si="82"/>
        <v>F</v>
      </c>
      <c r="AS21" s="413" t="str">
        <f t="shared" si="82"/>
        <v>A</v>
      </c>
      <c r="AT21" s="415" t="str">
        <f t="shared" si="82"/>
        <v>GD</v>
      </c>
      <c r="AU21" s="467">
        <f>COUNTIF(AU22:AU25,"&gt;1")</f>
        <v>0</v>
      </c>
      <c r="AV21" s="416"/>
      <c r="AW21" s="471"/>
      <c r="AX21" s="471"/>
      <c r="AY21" s="417" t="str">
        <f>AL21</f>
        <v>Nation</v>
      </c>
      <c r="AZ21" s="418" t="str">
        <f>+Idiomas!$D$67</f>
        <v>Deducted Points</v>
      </c>
      <c r="BA21" s="378"/>
      <c r="BC21" s="9" t="str">
        <f>+INDEX(T_Equipos[Grupo],MATCH(WORLDCUP!BD21,T_Equipos[NombreEquipo],0))</f>
        <v>D</v>
      </c>
      <c r="BD21" s="9" t="str">
        <f>+Equipos!B17</f>
        <v>Turkey</v>
      </c>
      <c r="BE21" s="9">
        <f t="shared" si="16"/>
        <v>7</v>
      </c>
      <c r="BF21" s="9">
        <f t="shared" si="17"/>
        <v>3</v>
      </c>
      <c r="BG21" s="9">
        <f t="shared" si="18"/>
        <v>2</v>
      </c>
      <c r="BH21" s="9">
        <f t="shared" si="19"/>
        <v>1</v>
      </c>
      <c r="BI21" s="9">
        <f t="shared" si="20"/>
        <v>0</v>
      </c>
      <c r="BJ21" s="9">
        <f t="shared" si="21"/>
        <v>5</v>
      </c>
      <c r="BK21" s="9">
        <f t="shared" si="22"/>
        <v>1</v>
      </c>
      <c r="BL21" s="9">
        <f t="shared" si="23"/>
        <v>4</v>
      </c>
      <c r="BM21" s="9" t="str">
        <f t="shared" si="24"/>
        <v>1D</v>
      </c>
      <c r="BN21" s="9" t="str">
        <f t="shared" si="25"/>
        <v>1D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7</v>
      </c>
      <c r="BS21" s="9">
        <f>BP21+COUNTIFS($BQ$6:$BQ$53,BQ21,$BR$6:BR$53,"&gt;"&amp;BR21,$BC$6:$BC$53,INDEX(T_Equipos[Grupo],MATCH(BD21,T_Equipos[NombreEquipo],0)))</f>
        <v>1</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1</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1</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1</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1</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1</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1</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1</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1</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1</v>
      </c>
      <c r="DE21" s="9"/>
      <c r="DF21" s="9">
        <f t="shared" si="46"/>
        <v>1</v>
      </c>
      <c r="DG21" s="9" t="str">
        <f>IF(DB21="-","-",COUNTIFS(DF$6:DF$53,"&lt;"&amp;DF21,$BC$6:$BC$53,INDEX(T_Equipos[Grupo],MATCH(BD21,T_Equipos[NombreEquipo],0))))</f>
        <v>-</v>
      </c>
      <c r="DH21" s="9">
        <f>DA21+COUNTIFS(DB$6:DB$53,DB21,DG$6:DG$53,"&lt;"&amp;DG21,$BC$6:$BC$53,INDEX(T_Equipos[Grupo],MATCH(BD21,T_Equipos[NombreEquipo],0)))</f>
        <v>1</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Australia</v>
      </c>
    </row>
    <row r="22" spans="1:121" ht="16.149999999999999" customHeight="1">
      <c r="A22" s="8" t="str">
        <f>+Equipos!B11</f>
        <v>Morocco</v>
      </c>
      <c r="D22" s="8" t="str">
        <f t="shared" si="68"/>
        <v>Visitante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79"/>
      <c r="W22" s="607"/>
      <c r="X22" s="397">
        <f>Horarios!C22</f>
        <v>46192.75</v>
      </c>
      <c r="Y22" s="398">
        <f>Horarios!C22</f>
        <v>46192.75</v>
      </c>
      <c r="Z22" s="399" t="str">
        <f>$Z$6</f>
        <v>R2</v>
      </c>
      <c r="AA22" s="400" t="str">
        <f>A24</f>
        <v>Scotland</v>
      </c>
      <c r="AB22" s="401" t="str">
        <f t="array" aca="1" ref="AB22" ca="1">Ver_flag_local</f>
        <v/>
      </c>
      <c r="AC22" s="15">
        <v>0</v>
      </c>
      <c r="AD22" s="16">
        <v>2</v>
      </c>
      <c r="AE22" s="402" t="str">
        <f t="array" aca="1" ref="AE22" ca="1">Ver_flag_visit</f>
        <v/>
      </c>
      <c r="AF22" s="403" t="str">
        <f>A22</f>
        <v>Morocco</v>
      </c>
      <c r="AG22" s="404">
        <f t="shared" si="81"/>
        <v>1</v>
      </c>
      <c r="AH22" s="405">
        <v>30</v>
      </c>
      <c r="AI22" s="406" t="str">
        <f>AJ22&amp;$B$20</f>
        <v>1C</v>
      </c>
      <c r="AJ22" s="419">
        <v>1</v>
      </c>
      <c r="AK22" s="473" t="str">
        <f t="array" aca="1" ref="AK22" ca="1">Ver_flag_visit</f>
        <v/>
      </c>
      <c r="AL22" s="421" t="str">
        <f>IFERROR(INDEX($BD$6:$BD$53,MATCH(AI22,$BN$6:$BN$53,0)),"")</f>
        <v>Brazil</v>
      </c>
      <c r="AM22" s="422">
        <f t="shared" ref="AM22:AT25" si="83">INDEX($BE$6:$BN$53,MATCH($AL22,$BD$6:$BD$53,0),MATCH(AM$5,$BE$5:$BN$5,0))</f>
        <v>9</v>
      </c>
      <c r="AN22" s="423">
        <f t="shared" si="83"/>
        <v>3</v>
      </c>
      <c r="AO22" s="423">
        <f t="shared" si="83"/>
        <v>3</v>
      </c>
      <c r="AP22" s="423">
        <f t="shared" si="83"/>
        <v>0</v>
      </c>
      <c r="AQ22" s="423">
        <f t="shared" si="83"/>
        <v>0</v>
      </c>
      <c r="AR22" s="423">
        <f t="shared" si="83"/>
        <v>7</v>
      </c>
      <c r="AS22" s="423">
        <f t="shared" si="83"/>
        <v>2</v>
      </c>
      <c r="AT22" s="424">
        <f t="shared" si="83"/>
        <v>5</v>
      </c>
      <c r="AU22" s="425">
        <f>INDEX($DL$6:$DL$53,MATCH(AI22,$DP$6:$DP$53,0))</f>
        <v>1</v>
      </c>
      <c r="AV22" s="426" t="str">
        <f>INDEX($BD$6:$BD$53,MATCH(AI22,$BM$6:$BM$53,0))</f>
        <v>Brazil</v>
      </c>
      <c r="AW22" s="579"/>
      <c r="AX22" s="428"/>
      <c r="AY22" s="429" t="str">
        <f>+A21</f>
        <v>Brazil</v>
      </c>
      <c r="AZ22" s="430"/>
      <c r="BA22" s="378"/>
      <c r="BC22" s="9" t="str">
        <f>+INDEX(T_Equipos[Grupo],MATCH(WORLDCUP!BD22,T_Equipos[NombreEquipo],0))</f>
        <v>E</v>
      </c>
      <c r="BD22" s="9" t="str">
        <f>+Equipos!B18</f>
        <v>Germany</v>
      </c>
      <c r="BE22" s="9">
        <f t="shared" si="16"/>
        <v>9</v>
      </c>
      <c r="BF22" s="9">
        <f t="shared" si="17"/>
        <v>3</v>
      </c>
      <c r="BG22" s="9">
        <f t="shared" si="18"/>
        <v>3</v>
      </c>
      <c r="BH22" s="9">
        <f t="shared" si="19"/>
        <v>0</v>
      </c>
      <c r="BI22" s="9">
        <f t="shared" si="20"/>
        <v>0</v>
      </c>
      <c r="BJ22" s="9">
        <f t="shared" si="21"/>
        <v>6</v>
      </c>
      <c r="BK22" s="9">
        <f t="shared" si="22"/>
        <v>0</v>
      </c>
      <c r="BL22" s="9">
        <f t="shared" si="23"/>
        <v>6</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9</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79"/>
      <c r="W23" s="607"/>
      <c r="X23" s="397">
        <f>Horarios!C23</f>
        <v>46192.854166666657</v>
      </c>
      <c r="Y23" s="398">
        <f>Horarios!C23</f>
        <v>46192.854166666657</v>
      </c>
      <c r="Z23" s="399" t="str">
        <f>$Z$6</f>
        <v>R2</v>
      </c>
      <c r="AA23" s="400" t="str">
        <f>A21</f>
        <v>Brazil</v>
      </c>
      <c r="AB23" s="401" t="str">
        <f t="array" aca="1" ref="AB23" ca="1">Ver_flag_local</f>
        <v/>
      </c>
      <c r="AC23" s="15">
        <v>3</v>
      </c>
      <c r="AD23" s="16">
        <v>0</v>
      </c>
      <c r="AE23" s="402" t="str">
        <f t="array" aca="1" ref="AE23" ca="1">Ver_flag_visit</f>
        <v/>
      </c>
      <c r="AF23" s="403" t="str">
        <f>A23</f>
        <v>Haiti</v>
      </c>
      <c r="AG23" s="404">
        <f t="shared" si="81"/>
        <v>1</v>
      </c>
      <c r="AH23" s="405">
        <v>29</v>
      </c>
      <c r="AI23" s="406" t="str">
        <f>AJ23&amp;$B$20</f>
        <v>2C</v>
      </c>
      <c r="AJ23" s="431">
        <v>2</v>
      </c>
      <c r="AK23" s="476" t="str">
        <f t="array" aca="1" ref="AK23" ca="1">Ver_flag_visit</f>
        <v/>
      </c>
      <c r="AL23" s="433" t="str">
        <f>IFERROR(INDEX($BD$6:$BD$53,MATCH(AI23,$BN$6:$BN$53,0)),"")</f>
        <v>Morocco</v>
      </c>
      <c r="AM23" s="434">
        <f t="shared" si="83"/>
        <v>6</v>
      </c>
      <c r="AN23" s="435">
        <f t="shared" si="83"/>
        <v>3</v>
      </c>
      <c r="AO23" s="435">
        <f t="shared" si="83"/>
        <v>2</v>
      </c>
      <c r="AP23" s="435">
        <f t="shared" si="83"/>
        <v>0</v>
      </c>
      <c r="AQ23" s="435">
        <f t="shared" si="83"/>
        <v>1</v>
      </c>
      <c r="AR23" s="435">
        <f t="shared" si="83"/>
        <v>5</v>
      </c>
      <c r="AS23" s="435">
        <f t="shared" si="83"/>
        <v>2</v>
      </c>
      <c r="AT23" s="436">
        <f t="shared" si="83"/>
        <v>3</v>
      </c>
      <c r="AU23" s="425">
        <f>INDEX($DL$6:$DL$53,MATCH(AI23,$DP$6:$DP$53,0))</f>
        <v>1</v>
      </c>
      <c r="AV23" s="426" t="str">
        <f>INDEX($BD$6:$BD$53,MATCH(AI23,$BM$6:$BM$53,0))</f>
        <v>Morocco</v>
      </c>
      <c r="AW23" s="579"/>
      <c r="AX23" s="428"/>
      <c r="AY23" s="437" t="str">
        <f>+A22</f>
        <v>Morocco</v>
      </c>
      <c r="AZ23" s="438"/>
      <c r="BA23" s="378"/>
      <c r="BC23" s="9" t="str">
        <f>+INDEX(T_Equipos[Grupo],MATCH(WORLDCUP!BD23,T_Equipos[NombreEquipo],0))</f>
        <v>E</v>
      </c>
      <c r="BD23" s="9" t="str">
        <f>+Equipos!B19</f>
        <v>Curaçao</v>
      </c>
      <c r="BE23" s="9">
        <f t="shared" si="16"/>
        <v>1</v>
      </c>
      <c r="BF23" s="9">
        <f t="shared" si="17"/>
        <v>3</v>
      </c>
      <c r="BG23" s="9">
        <f t="shared" si="18"/>
        <v>0</v>
      </c>
      <c r="BH23" s="9">
        <f t="shared" si="19"/>
        <v>1</v>
      </c>
      <c r="BI23" s="9">
        <f t="shared" si="20"/>
        <v>2</v>
      </c>
      <c r="BJ23" s="9">
        <f t="shared" si="21"/>
        <v>1</v>
      </c>
      <c r="BK23" s="9">
        <f t="shared" si="22"/>
        <v>4</v>
      </c>
      <c r="BL23" s="9">
        <f t="shared" si="23"/>
        <v>-3</v>
      </c>
      <c r="BM23" s="9" t="str">
        <f t="shared" si="24"/>
        <v>3E</v>
      </c>
      <c r="BN23" s="9" t="str">
        <f t="shared" si="25"/>
        <v>3E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1</v>
      </c>
      <c r="BS23" s="9">
        <f>BP23+COUNTIFS($BQ$6:$BQ$53,BQ23,$BR$6:BR$53,"&gt;"&amp;BR23,$BC$6:$BC$53,INDEX(T_Equipos[Grupo],MATCH(BD23,T_Equipos[NombreEquipo],0)))</f>
        <v>3</v>
      </c>
      <c r="BT23" s="9" t="str">
        <f>IF(COUNTIFS($BS$6:$BS$53,BS23,$BC$6:$BC$53,INDEX(T_Equipos[Grupo],MATCH(BD23,T_Equipos[NombreEquipo],0)))=1,"-","P."&amp;BS23&amp;" ("&amp;COUNTIFS($BS$6:$BS$53,BS23,$BC$6:$BC$53,INDEX(T_Equipos[Grupo],MATCH(BD23,T_Equipos[NombreEquipo],0)))&amp;")")</f>
        <v>P.3 (2)</v>
      </c>
      <c r="BU23" s="9">
        <f t="shared" si="28"/>
        <v>0</v>
      </c>
      <c r="BV23" s="9">
        <f t="shared" si="29"/>
        <v>1</v>
      </c>
      <c r="BW23" s="9">
        <f t="shared" si="30"/>
        <v>0</v>
      </c>
      <c r="BX23" s="9">
        <f t="shared" si="31"/>
        <v>1</v>
      </c>
      <c r="BY23" s="9">
        <f>BS23+COUNTIFS($BT$6:$BT$53,BT23,$BX$6:BX$53,"&gt;"&amp;BX23,$BC$6:$BC$53,INDEX(T_Equipos[Grupo],MATCH(BD23,T_Equipos[NombreEquipo],0)))</f>
        <v>3</v>
      </c>
      <c r="BZ23" s="9" t="str">
        <f>IF(COUNTIFS($BY$6:$BY$53,BY23,$BC$6:$BC$53,INDEX(T_Equipos[Grupo],MATCH(BD23,T_Equipos[NombreEquipo],0)))=1,"-","P."&amp;BY23&amp;" ("&amp;COUNTIFS($BY$6:$BY$53,BY23,$BC$6:$BC$53,INDEX(T_Equipos[Grupo],MATCH(BD23,T_Equipos[NombreEquipo],0)))&amp;")")</f>
        <v>P.3 (2)</v>
      </c>
      <c r="CA23" s="9">
        <f t="shared" si="32"/>
        <v>1</v>
      </c>
      <c r="CB23" s="9">
        <f t="shared" si="33"/>
        <v>1</v>
      </c>
      <c r="CC23" s="9">
        <f t="shared" si="34"/>
        <v>0</v>
      </c>
      <c r="CD23" s="9">
        <f>BY23+COUNTIFS($BZ$6:$BZ$53,BZ23,$CC$6:CC$53,"&gt;"&amp;CC23,$BC$6:$BC$53,INDEX(T_Equipos[Grupo],MATCH(BD23,T_Equipos[NombreEquipo],0)))</f>
        <v>3</v>
      </c>
      <c r="CE23" s="9" t="str">
        <f>IF(COUNTIFS($CD$6:$CD$53,CD23,$BC$6:$BC$53,INDEX(T_Equipos[Grupo],MATCH(BD23,T_Equipos[NombreEquipo],0)))=1,"-","P."&amp;CD23&amp;" ("&amp;COUNTIFS($CD$6:$CD$53,CD23,$BC$6:$BC$53,INDEX(T_Equipos[Grupo],MATCH(BD23,T_Equipos[NombreEquipo],0)))&amp;")")</f>
        <v>P.3 (2)</v>
      </c>
      <c r="CF23" s="9">
        <f t="shared" si="35"/>
        <v>1</v>
      </c>
      <c r="CG23" s="9">
        <f>CD23+COUNTIFS($CE$6:$CE$53,CE23,$CF$6:CF$53,"&gt;"&amp;CF23,$BC$6:$BC$53,INDEX(T_Equipos[Grupo],MATCH(BD23,T_Equipos[NombreEquipo],0)))</f>
        <v>3</v>
      </c>
      <c r="CH23" s="9" t="str">
        <f>IF(COUNTIFS($CG$6:$CG$53,CG23,$BC$6:$BC$53,INDEX(T_Equipos[Grupo],MATCH(BD23,T_Equipos[NombreEquipo],0)))=1,"-","P."&amp;CG23&amp;" ("&amp;COUNTIFS($CG$6:$CG$53,CG23,$BC$6:$BC$53,INDEX(T_Equipos[Grupo],MATCH(BD23,T_Equipos[NombreEquipo],0)))&amp;")")</f>
        <v>P.3 (2)</v>
      </c>
      <c r="CI23" s="9">
        <f t="shared" si="36"/>
        <v>0</v>
      </c>
      <c r="CJ23" s="9">
        <f t="shared" si="37"/>
        <v>1</v>
      </c>
      <c r="CK23" s="9">
        <f t="shared" si="38"/>
        <v>0</v>
      </c>
      <c r="CL23" s="9">
        <f t="shared" si="39"/>
        <v>1</v>
      </c>
      <c r="CM23" s="9">
        <f>CG23+COUNTIFS($CH$6:$CH$53,CH23,$CL$6:CL$53,"&gt;"&amp;CL23,$BC$6:$BC$53,INDEX(T_Equipos[Grupo],MATCH(BD23,T_Equipos[NombreEquipo],0)))</f>
        <v>3</v>
      </c>
      <c r="CN23" s="9" t="str">
        <f>IF(COUNTIFS($CM$6:$CM$53,CM23,$BC$6:$BC$53,INDEX(T_Equipos[Grupo],MATCH(BD23,T_Equipos[NombreEquipo],0)))=1,"-","P."&amp;CM23&amp;" ("&amp;COUNTIFS($CM$6:$CM$53,CM23,$BC$6:$BC$53,INDEX(T_Equipos[Grupo],MATCH(BD23,T_Equipos[NombreEquipo],0)))&amp;")")</f>
        <v>P.3 (2)</v>
      </c>
      <c r="CO23" s="9">
        <f t="shared" si="40"/>
        <v>1</v>
      </c>
      <c r="CP23" s="9">
        <f t="shared" si="41"/>
        <v>1</v>
      </c>
      <c r="CQ23" s="9">
        <f t="shared" si="42"/>
        <v>0</v>
      </c>
      <c r="CR23" s="9">
        <f>CM23+COUNTIFS($CN$6:$CN$53,CN23,$CQ$6:CQ$53,"&gt;"&amp;CQ23,$BC$6:$BC$53,INDEX(T_Equipos[Grupo],MATCH(BD23,T_Equipos[NombreEquipo],0)))</f>
        <v>3</v>
      </c>
      <c r="CS23" s="9" t="str">
        <f>IF(COUNTIFS($CR$6:$CR$53,CR23,$BC$6:$BC$53,INDEX(T_Equipos[Grupo],MATCH(BD23,T_Equipos[NombreEquipo],0)))=1,"-","P."&amp;CR23&amp;" ("&amp;COUNTIFS($CR$6:$CR$53,CR23,$BC$6:$BC$53,INDEX(T_Equipos[Grupo],MATCH(BD23,T_Equipos[NombreEquipo],0)))&amp;")")</f>
        <v>P.3 (2)</v>
      </c>
      <c r="CT23" s="9">
        <f t="shared" si="43"/>
        <v>1</v>
      </c>
      <c r="CU23" s="9">
        <f>CR23+COUNTIFS($CS$6:$CS$53,CS23,$CT$6:CT$53,"&gt;"&amp;CT23,$BC$6:$BC$53,INDEX(T_Equipos[Grupo],MATCH(BD23,T_Equipos[NombreEquipo],0)))</f>
        <v>3</v>
      </c>
      <c r="CV23" s="9" t="str">
        <f>IF(COUNTIFS($CU$6:$CU$53,CU23,$BC$6:$BC$53,INDEX(T_Equipos[Grupo],MATCH(BD23,T_Equipos[NombreEquipo],0)))=1,"-","P."&amp;CU23&amp;" ("&amp;COUNTIFS($CU$6:$CU$53,CU23,$BC$6:$BC$53,INDEX(T_Equipos[Grupo],MATCH(BD23,T_Equipos[NombreEquipo],0)))&amp;")")</f>
        <v>P.3 (2)</v>
      </c>
      <c r="CW23" s="9">
        <f t="shared" si="44"/>
        <v>-3</v>
      </c>
      <c r="CX23" s="9">
        <f>CU23+COUNTIFS($CV$6:$CV$53,CV23,$CW$6:CW$53,"&gt;"&amp;CW23,$BC$6:$BC$53,INDEX(T_Equipos[Grupo],MATCH(BD23,T_Equipos[NombreEquipo],0)))</f>
        <v>3</v>
      </c>
      <c r="CY23" s="9" t="str">
        <f>IF(COUNTIFS($CX$6:$CX$53,CX23,$BC$6:$BC$53,INDEX(T_Equipos[Grupo],MATCH(BD23,T_Equipos[NombreEquipo],0)))=1,"-","P."&amp;CX23&amp;" ("&amp;COUNTIFS($CX$6:$CX$53,CX23,$BC$6:$BC$53,INDEX(T_Equipos[Grupo],MATCH(BD23,T_Equipos[NombreEquipo],0)))&amp;")")</f>
        <v>P.3 (2)</v>
      </c>
      <c r="CZ23" s="9">
        <f t="shared" si="45"/>
        <v>1</v>
      </c>
      <c r="DA23" s="9">
        <f>CX23+COUNTIFS($CY$6:$CY$53,CY23,$CZ$6:CZ$53,"&gt;"&amp;CZ23,$BC$6:$BC$53,INDEX(T_Equipos[Grupo],MATCH(BD23,T_Equipos[NombreEquipo],0)))</f>
        <v>3</v>
      </c>
      <c r="DB23" s="9" t="str">
        <f>IF(COUNTIFS($DA$6:$DA$53,DA23,$BC$6:$BC$53,INDEX(T_Equipos[Grupo],MATCH(BD23,T_Equipos[NombreEquipo],0)))=1,"-","P."&amp;DA23&amp;" ("&amp;COUNTIFS($DA$6:$DA$53,DA23,$BC$6:$BC$53,INDEX(T_Equipos[Grupo],MATCH(BD23,T_Equipos[NombreEquipo],0)))&amp;")")</f>
        <v>P.3 (2)</v>
      </c>
      <c r="DC23" s="9">
        <f>IF(DB23="-","-",COUNTIFS(T_Equipos[Rank],"&lt;"&amp;INDEX(T_Equipos[Rank],MATCH(BD23,T_Equipos[NombreEquipo],0)),$BC$6:$BC$53,INDEX(T_Equipos[Grupo],MATCH(BD23,T_Equipos[NombreEquipo],0)))+1)</f>
        <v>2</v>
      </c>
      <c r="DD23" s="9">
        <f>DA23+COUNTIFS($DB$6:$DB$53,DB23,$DC$6:DC$53,"&lt;"&amp;DC23,$BC$6:$BC$53,INDEX(T_Equipos[Grupo],MATCH(BD23,T_Equipos[NombreEquipo],0)))</f>
        <v>3</v>
      </c>
      <c r="DE23" s="9"/>
      <c r="DF23" s="9">
        <f t="shared" si="46"/>
        <v>1.0029999999999999</v>
      </c>
      <c r="DG23" s="9">
        <f>IF(DB23="-","-",COUNTIFS(DF$6:DF$53,"&lt;"&amp;DF23,$BC$6:$BC$53,INDEX(T_Equipos[Grupo],MATCH(BD23,T_Equipos[NombreEquipo],0))))</f>
        <v>1</v>
      </c>
      <c r="DH23" s="9">
        <f>DA23+COUNTIFS(DB$6:DB$53,DB23,DG$6:DG$53,"&lt;"&amp;DG23,$BC$6:$BC$53,INDEX(T_Equipos[Grupo],MATCH(BD23,T_Equipos[NombreEquipo],0)))</f>
        <v>3</v>
      </c>
      <c r="DI23" s="9"/>
      <c r="DJ23" s="9">
        <f t="shared" si="47"/>
        <v>2</v>
      </c>
      <c r="DK23" s="9">
        <f t="shared" si="48"/>
        <v>12</v>
      </c>
      <c r="DL23" s="9">
        <f t="shared" si="49"/>
        <v>1</v>
      </c>
      <c r="DM23" s="9" t="str">
        <f t="shared" si="50"/>
        <v>2.1</v>
      </c>
      <c r="DN23" s="9">
        <f t="array" aca="1" ref="DN23" ca="1">OFFSET(Horarios!$P$3,DJ23-1,0,DL23,1)</f>
        <v>2</v>
      </c>
      <c r="DO23" s="9"/>
      <c r="DP23" s="9" t="s">
        <v>93</v>
      </c>
      <c r="DQ23" s="9" t="str">
        <f t="shared" si="51"/>
        <v>Ecuador</v>
      </c>
    </row>
    <row r="24" spans="1:121" ht="16.149999999999999" customHeight="1">
      <c r="A24" s="8" t="str">
        <f>+Equipos!B13</f>
        <v>Scotland</v>
      </c>
      <c r="D24" s="8" t="str">
        <f t="shared" si="68"/>
        <v>Visitante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79"/>
      <c r="W24" s="607"/>
      <c r="X24" s="397">
        <f>Horarios!C24</f>
        <v>46197.75</v>
      </c>
      <c r="Y24" s="398">
        <f>Horarios!C24</f>
        <v>46197.75</v>
      </c>
      <c r="Z24" s="399" t="str">
        <f>$Z$8</f>
        <v>R3</v>
      </c>
      <c r="AA24" s="400" t="str">
        <f>A24</f>
        <v>Scotland</v>
      </c>
      <c r="AB24" s="401" t="str">
        <f t="array" aca="1" ref="AB24" ca="1">Ver_flag_local</f>
        <v/>
      </c>
      <c r="AC24" s="15">
        <v>1</v>
      </c>
      <c r="AD24" s="16">
        <v>2</v>
      </c>
      <c r="AE24" s="402" t="str">
        <f t="array" aca="1" ref="AE24" ca="1">Ver_flag_visit</f>
        <v/>
      </c>
      <c r="AF24" s="403" t="str">
        <f>A21</f>
        <v>Brazil</v>
      </c>
      <c r="AG24" s="404">
        <f t="shared" si="81"/>
        <v>1</v>
      </c>
      <c r="AH24" s="405">
        <v>49</v>
      </c>
      <c r="AI24" s="406" t="str">
        <f>AJ24&amp;$B$20</f>
        <v>3C</v>
      </c>
      <c r="AJ24" s="431">
        <v>3</v>
      </c>
      <c r="AK24" s="476" t="str">
        <f t="array" aca="1" ref="AK24" ca="1">Ver_flag_visit</f>
        <v/>
      </c>
      <c r="AL24" s="433" t="str">
        <f>IFERROR(INDEX($BD$6:$BD$53,MATCH(AI24,$BN$6:$BN$53,0)),"")</f>
        <v>Scotland</v>
      </c>
      <c r="AM24" s="434">
        <f t="shared" si="83"/>
        <v>3</v>
      </c>
      <c r="AN24" s="435">
        <f t="shared" si="83"/>
        <v>3</v>
      </c>
      <c r="AO24" s="435">
        <f t="shared" si="83"/>
        <v>1</v>
      </c>
      <c r="AP24" s="435">
        <f t="shared" si="83"/>
        <v>0</v>
      </c>
      <c r="AQ24" s="435">
        <f t="shared" si="83"/>
        <v>2</v>
      </c>
      <c r="AR24" s="435">
        <f t="shared" si="83"/>
        <v>3</v>
      </c>
      <c r="AS24" s="435">
        <f t="shared" si="83"/>
        <v>4</v>
      </c>
      <c r="AT24" s="436">
        <f t="shared" si="83"/>
        <v>-1</v>
      </c>
      <c r="AU24" s="425">
        <f>INDEX($DL$6:$DL$53,MATCH(AI24,$DP$6:$DP$53,0))</f>
        <v>1</v>
      </c>
      <c r="AV24" s="426" t="str">
        <f>INDEX($BD$6:$BD$53,MATCH(AI24,$BM$6:$BM$53,0))</f>
        <v>Scotland</v>
      </c>
      <c r="AW24" s="579"/>
      <c r="AX24" s="428"/>
      <c r="AY24" s="429" t="str">
        <f>+A23</f>
        <v>Haiti</v>
      </c>
      <c r="AZ24" s="430"/>
      <c r="BA24" s="378"/>
      <c r="BC24" s="9" t="str">
        <f>+INDEX(T_Equipos[Grupo],MATCH(WORLDCUP!BD24,T_Equipos[NombreEquipo],0))</f>
        <v>E</v>
      </c>
      <c r="BD24" s="9" t="str">
        <f>+Equipos!B20</f>
        <v>Ivory Coast</v>
      </c>
      <c r="BE24" s="9">
        <f t="shared" si="16"/>
        <v>1</v>
      </c>
      <c r="BF24" s="9">
        <f t="shared" si="17"/>
        <v>3</v>
      </c>
      <c r="BG24" s="9">
        <f t="shared" si="18"/>
        <v>0</v>
      </c>
      <c r="BH24" s="9">
        <f t="shared" si="19"/>
        <v>1</v>
      </c>
      <c r="BI24" s="9">
        <f t="shared" si="20"/>
        <v>2</v>
      </c>
      <c r="BJ24" s="9">
        <f t="shared" si="21"/>
        <v>1</v>
      </c>
      <c r="BK24" s="9">
        <f t="shared" si="22"/>
        <v>4</v>
      </c>
      <c r="BL24" s="9">
        <f t="shared" si="23"/>
        <v>-3</v>
      </c>
      <c r="BM24" s="9" t="str">
        <f t="shared" si="24"/>
        <v>4E</v>
      </c>
      <c r="BN24" s="9" t="str">
        <f t="shared" si="25"/>
        <v>4E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1</v>
      </c>
      <c r="BS24" s="9">
        <f>BP24+COUNTIFS($BQ$6:$BQ$53,BQ24,$BR$6:BR$53,"&gt;"&amp;BR24,$BC$6:$BC$53,INDEX(T_Equipos[Grupo],MATCH(BD24,T_Equipos[NombreEquipo],0)))</f>
        <v>3</v>
      </c>
      <c r="BT24" s="9" t="str">
        <f>IF(COUNTIFS($BS$6:$BS$53,BS24,$BC$6:$BC$53,INDEX(T_Equipos[Grupo],MATCH(BD24,T_Equipos[NombreEquipo],0)))=1,"-","P."&amp;BS24&amp;" ("&amp;COUNTIFS($BS$6:$BS$53,BS24,$BC$6:$BC$53,INDEX(T_Equipos[Grupo],MATCH(BD24,T_Equipos[NombreEquipo],0)))&amp;")")</f>
        <v>P.3 (2)</v>
      </c>
      <c r="BU24" s="9">
        <f t="shared" si="28"/>
        <v>0</v>
      </c>
      <c r="BV24" s="9">
        <f t="shared" si="29"/>
        <v>1</v>
      </c>
      <c r="BW24" s="9">
        <f t="shared" si="30"/>
        <v>0</v>
      </c>
      <c r="BX24" s="9">
        <f t="shared" si="31"/>
        <v>1</v>
      </c>
      <c r="BY24" s="9">
        <f>BS24+COUNTIFS($BT$6:$BT$53,BT24,$BX$6:BX$53,"&gt;"&amp;BX24,$BC$6:$BC$53,INDEX(T_Equipos[Grupo],MATCH(BD24,T_Equipos[NombreEquipo],0)))</f>
        <v>3</v>
      </c>
      <c r="BZ24" s="9" t="str">
        <f>IF(COUNTIFS($BY$6:$BY$53,BY24,$BC$6:$BC$53,INDEX(T_Equipos[Grupo],MATCH(BD24,T_Equipos[NombreEquipo],0)))=1,"-","P."&amp;BY24&amp;" ("&amp;COUNTIFS($BY$6:$BY$53,BY24,$BC$6:$BC$53,INDEX(T_Equipos[Grupo],MATCH(BD24,T_Equipos[NombreEquipo],0)))&amp;")")</f>
        <v>P.3 (2)</v>
      </c>
      <c r="CA24" s="9">
        <f t="shared" si="32"/>
        <v>1</v>
      </c>
      <c r="CB24" s="9">
        <f t="shared" si="33"/>
        <v>1</v>
      </c>
      <c r="CC24" s="9">
        <f t="shared" si="34"/>
        <v>0</v>
      </c>
      <c r="CD24" s="9">
        <f>BY24+COUNTIFS($BZ$6:$BZ$53,BZ24,$CC$6:CC$53,"&gt;"&amp;CC24,$BC$6:$BC$53,INDEX(T_Equipos[Grupo],MATCH(BD24,T_Equipos[NombreEquipo],0)))</f>
        <v>3</v>
      </c>
      <c r="CE24" s="9" t="str">
        <f>IF(COUNTIFS($CD$6:$CD$53,CD24,$BC$6:$BC$53,INDEX(T_Equipos[Grupo],MATCH(BD24,T_Equipos[NombreEquipo],0)))=1,"-","P."&amp;CD24&amp;" ("&amp;COUNTIFS($CD$6:$CD$53,CD24,$BC$6:$BC$53,INDEX(T_Equipos[Grupo],MATCH(BD24,T_Equipos[NombreEquipo],0)))&amp;")")</f>
        <v>P.3 (2)</v>
      </c>
      <c r="CF24" s="9">
        <f t="shared" si="35"/>
        <v>1</v>
      </c>
      <c r="CG24" s="9">
        <f>CD24+COUNTIFS($CE$6:$CE$53,CE24,$CF$6:CF$53,"&gt;"&amp;CF24,$BC$6:$BC$53,INDEX(T_Equipos[Grupo],MATCH(BD24,T_Equipos[NombreEquipo],0)))</f>
        <v>3</v>
      </c>
      <c r="CH24" s="9" t="str">
        <f>IF(COUNTIFS($CG$6:$CG$53,CG24,$BC$6:$BC$53,INDEX(T_Equipos[Grupo],MATCH(BD24,T_Equipos[NombreEquipo],0)))=1,"-","P."&amp;CG24&amp;" ("&amp;COUNTIFS($CG$6:$CG$53,CG24,$BC$6:$BC$53,INDEX(T_Equipos[Grupo],MATCH(BD24,T_Equipos[NombreEquipo],0)))&amp;")")</f>
        <v>P.3 (2)</v>
      </c>
      <c r="CI24" s="9">
        <f t="shared" si="36"/>
        <v>0</v>
      </c>
      <c r="CJ24" s="9">
        <f t="shared" si="37"/>
        <v>1</v>
      </c>
      <c r="CK24" s="9">
        <f t="shared" si="38"/>
        <v>0</v>
      </c>
      <c r="CL24" s="9">
        <f t="shared" si="39"/>
        <v>1</v>
      </c>
      <c r="CM24" s="9">
        <f>CG24+COUNTIFS($CH$6:$CH$53,CH24,$CL$6:CL$53,"&gt;"&amp;CL24,$BC$6:$BC$53,INDEX(T_Equipos[Grupo],MATCH(BD24,T_Equipos[NombreEquipo],0)))</f>
        <v>3</v>
      </c>
      <c r="CN24" s="9" t="str">
        <f>IF(COUNTIFS($CM$6:$CM$53,CM24,$BC$6:$BC$53,INDEX(T_Equipos[Grupo],MATCH(BD24,T_Equipos[NombreEquipo],0)))=1,"-","P."&amp;CM24&amp;" ("&amp;COUNTIFS($CM$6:$CM$53,CM24,$BC$6:$BC$53,INDEX(T_Equipos[Grupo],MATCH(BD24,T_Equipos[NombreEquipo],0)))&amp;")")</f>
        <v>P.3 (2)</v>
      </c>
      <c r="CO24" s="9">
        <f t="shared" si="40"/>
        <v>1</v>
      </c>
      <c r="CP24" s="9">
        <f t="shared" si="41"/>
        <v>1</v>
      </c>
      <c r="CQ24" s="9">
        <f t="shared" si="42"/>
        <v>0</v>
      </c>
      <c r="CR24" s="9">
        <f>CM24+COUNTIFS($CN$6:$CN$53,CN24,$CQ$6:CQ$53,"&gt;"&amp;CQ24,$BC$6:$BC$53,INDEX(T_Equipos[Grupo],MATCH(BD24,T_Equipos[NombreEquipo],0)))</f>
        <v>3</v>
      </c>
      <c r="CS24" s="9" t="str">
        <f>IF(COUNTIFS($CR$6:$CR$53,CR24,$BC$6:$BC$53,INDEX(T_Equipos[Grupo],MATCH(BD24,T_Equipos[NombreEquipo],0)))=1,"-","P."&amp;CR24&amp;" ("&amp;COUNTIFS($CR$6:$CR$53,CR24,$BC$6:$BC$53,INDEX(T_Equipos[Grupo],MATCH(BD24,T_Equipos[NombreEquipo],0)))&amp;")")</f>
        <v>P.3 (2)</v>
      </c>
      <c r="CT24" s="9">
        <f t="shared" si="43"/>
        <v>1</v>
      </c>
      <c r="CU24" s="9">
        <f>CR24+COUNTIFS($CS$6:$CS$53,CS24,$CT$6:CT$53,"&gt;"&amp;CT24,$BC$6:$BC$53,INDEX(T_Equipos[Grupo],MATCH(BD24,T_Equipos[NombreEquipo],0)))</f>
        <v>3</v>
      </c>
      <c r="CV24" s="9" t="str">
        <f>IF(COUNTIFS($CU$6:$CU$53,CU24,$BC$6:$BC$53,INDEX(T_Equipos[Grupo],MATCH(BD24,T_Equipos[NombreEquipo],0)))=1,"-","P."&amp;CU24&amp;" ("&amp;COUNTIFS($CU$6:$CU$53,CU24,$BC$6:$BC$53,INDEX(T_Equipos[Grupo],MATCH(BD24,T_Equipos[NombreEquipo],0)))&amp;")")</f>
        <v>P.3 (2)</v>
      </c>
      <c r="CW24" s="9">
        <f t="shared" si="44"/>
        <v>-3</v>
      </c>
      <c r="CX24" s="9">
        <f>CU24+COUNTIFS($CV$6:$CV$53,CV24,$CW$6:CW$53,"&gt;"&amp;CW24,$BC$6:$BC$53,INDEX(T_Equipos[Grupo],MATCH(BD24,T_Equipos[NombreEquipo],0)))</f>
        <v>3</v>
      </c>
      <c r="CY24" s="9" t="str">
        <f>IF(COUNTIFS($CX$6:$CX$53,CX24,$BC$6:$BC$53,INDEX(T_Equipos[Grupo],MATCH(BD24,T_Equipos[NombreEquipo],0)))=1,"-","P."&amp;CX24&amp;" ("&amp;COUNTIFS($CX$6:$CX$53,CX24,$BC$6:$BC$53,INDEX(T_Equipos[Grupo],MATCH(BD24,T_Equipos[NombreEquipo],0)))&amp;")")</f>
        <v>P.3 (2)</v>
      </c>
      <c r="CZ24" s="9">
        <f t="shared" si="45"/>
        <v>1</v>
      </c>
      <c r="DA24" s="9">
        <f>CX24+COUNTIFS($CY$6:$CY$53,CY24,$CZ$6:CZ$53,"&gt;"&amp;CZ24,$BC$6:$BC$53,INDEX(T_Equipos[Grupo],MATCH(BD24,T_Equipos[NombreEquipo],0)))</f>
        <v>3</v>
      </c>
      <c r="DB24" s="9" t="str">
        <f>IF(COUNTIFS($DA$6:$DA$53,DA24,$BC$6:$BC$53,INDEX(T_Equipos[Grupo],MATCH(BD24,T_Equipos[NombreEquipo],0)))=1,"-","P."&amp;DA24&amp;" ("&amp;COUNTIFS($DA$6:$DA$53,DA24,$BC$6:$BC$53,INDEX(T_Equipos[Grupo],MATCH(BD24,T_Equipos[NombreEquipo],0)))&amp;")")</f>
        <v>P.3 (2)</v>
      </c>
      <c r="DC24" s="9">
        <f>IF(DB24="-","-",COUNTIFS(T_Equipos[Rank],"&lt;"&amp;INDEX(T_Equipos[Rank],MATCH(BD24,T_Equipos[NombreEquipo],0)),$BC$6:$BC$53,INDEX(T_Equipos[Grupo],MATCH(BD24,T_Equipos[NombreEquipo],0)))+1)</f>
        <v>3</v>
      </c>
      <c r="DD24" s="9">
        <f>DA24+COUNTIFS($DB$6:$DB$53,DB24,$DC$6:DC$53,"&lt;"&amp;DC24,$BC$6:$BC$53,INDEX(T_Equipos[Grupo],MATCH(BD24,T_Equipos[NombreEquipo],0)))</f>
        <v>4</v>
      </c>
      <c r="DE24" s="9"/>
      <c r="DF24" s="9">
        <f t="shared" si="46"/>
        <v>2.004</v>
      </c>
      <c r="DG24" s="9">
        <f>IF(DB24="-","-",COUNTIFS(DF$6:DF$53,"&lt;"&amp;DF24,$BC$6:$BC$53,INDEX(T_Equipos[Grupo],MATCH(BD24,T_Equipos[NombreEquipo],0))))</f>
        <v>3</v>
      </c>
      <c r="DH24" s="9">
        <f>DA24+COUNTIFS(DB$6:DB$53,DB24,DG$6:DG$53,"&lt;"&amp;DG24,$BC$6:$BC$53,INDEX(T_Equipos[Grupo],MATCH(BD24,T_Equipos[NombreEquipo],0)))</f>
        <v>4</v>
      </c>
      <c r="DI24" s="9"/>
      <c r="DJ24" s="9">
        <f t="shared" si="47"/>
        <v>3</v>
      </c>
      <c r="DK24" s="9">
        <f t="shared" si="48"/>
        <v>12</v>
      </c>
      <c r="DL24" s="9">
        <f t="shared" si="49"/>
        <v>2</v>
      </c>
      <c r="DM24" s="9" t="str">
        <f t="shared" si="50"/>
        <v>3.2</v>
      </c>
      <c r="DN24" s="9">
        <f t="array" aca="1" ref="DN24" ca="1">OFFSET(Horarios!$P$3,DJ24-1,0,DL24,1)</f>
        <v>3</v>
      </c>
      <c r="DO24" s="9"/>
      <c r="DP24" s="9" t="s">
        <v>94</v>
      </c>
      <c r="DQ24" s="9" t="str">
        <f t="shared" si="51"/>
        <v>Curaçao</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79"/>
      <c r="W25" s="608"/>
      <c r="X25" s="439">
        <f>Horarios!C25</f>
        <v>46197.75</v>
      </c>
      <c r="Y25" s="440">
        <f>Horarios!C25</f>
        <v>46197.75</v>
      </c>
      <c r="Z25" s="441" t="str">
        <f>$Z$8</f>
        <v>R3</v>
      </c>
      <c r="AA25" s="442" t="str">
        <f>A22</f>
        <v>Morocco</v>
      </c>
      <c r="AB25" s="443" t="str">
        <f t="array" aca="1" ref="AB25" ca="1">Ver_flag_local</f>
        <v/>
      </c>
      <c r="AC25" s="17">
        <v>2</v>
      </c>
      <c r="AD25" s="18">
        <v>0</v>
      </c>
      <c r="AE25" s="444" t="str">
        <f t="array" aca="1" ref="AE25" ca="1">Ver_flag_visit</f>
        <v/>
      </c>
      <c r="AF25" s="445" t="str">
        <f>A23</f>
        <v>Haiti</v>
      </c>
      <c r="AG25" s="404">
        <f t="shared" si="81"/>
        <v>1</v>
      </c>
      <c r="AH25" s="405">
        <v>50</v>
      </c>
      <c r="AI25" s="406" t="str">
        <f>AJ25&amp;$B$20</f>
        <v>4C</v>
      </c>
      <c r="AJ25" s="446">
        <v>4</v>
      </c>
      <c r="AK25" s="485" t="str">
        <f t="array" aca="1" ref="AK25" ca="1">Ver_flag_visit</f>
        <v/>
      </c>
      <c r="AL25" s="448" t="str">
        <f>IFERROR(INDEX($BD$6:$BD$53,MATCH(AI25,$BN$6:$BN$53,0)),"")</f>
        <v>Haiti</v>
      </c>
      <c r="AM25" s="449">
        <f t="shared" si="83"/>
        <v>0</v>
      </c>
      <c r="AN25" s="450">
        <f t="shared" si="83"/>
        <v>3</v>
      </c>
      <c r="AO25" s="450">
        <f t="shared" si="83"/>
        <v>0</v>
      </c>
      <c r="AP25" s="450">
        <f t="shared" si="83"/>
        <v>0</v>
      </c>
      <c r="AQ25" s="450">
        <f t="shared" si="83"/>
        <v>3</v>
      </c>
      <c r="AR25" s="450">
        <f t="shared" si="83"/>
        <v>0</v>
      </c>
      <c r="AS25" s="450">
        <f t="shared" si="83"/>
        <v>7</v>
      </c>
      <c r="AT25" s="451">
        <f t="shared" si="83"/>
        <v>-7</v>
      </c>
      <c r="AU25" s="425">
        <f>INDEX($DL$6:$DL$53,MATCH(AI25,$DP$6:$DP$53,0))</f>
        <v>1</v>
      </c>
      <c r="AV25" s="426" t="str">
        <f>INDEX($BD$6:$BD$53,MATCH(AI25,$BM$6:$BM$53,0))</f>
        <v>Haiti</v>
      </c>
      <c r="AW25" s="579"/>
      <c r="AX25" s="428"/>
      <c r="AY25" s="452" t="str">
        <f>+A24</f>
        <v>Scotland</v>
      </c>
      <c r="AZ25" s="453"/>
      <c r="BA25" s="378"/>
      <c r="BC25" s="9" t="str">
        <f>+INDEX(T_Equipos[Grupo],MATCH(WORLDCUP!BD25,T_Equipos[NombreEquipo],0))</f>
        <v>E</v>
      </c>
      <c r="BD25" s="9" t="str">
        <f>+Equipos!B21</f>
        <v>Ecuador</v>
      </c>
      <c r="BE25" s="9">
        <f t="shared" si="16"/>
        <v>6</v>
      </c>
      <c r="BF25" s="9">
        <f t="shared" si="17"/>
        <v>3</v>
      </c>
      <c r="BG25" s="9">
        <f t="shared" si="18"/>
        <v>2</v>
      </c>
      <c r="BH25" s="9">
        <f t="shared" si="19"/>
        <v>0</v>
      </c>
      <c r="BI25" s="9">
        <f t="shared" si="20"/>
        <v>1</v>
      </c>
      <c r="BJ25" s="9">
        <f t="shared" si="21"/>
        <v>2</v>
      </c>
      <c r="BK25" s="9">
        <f t="shared" si="22"/>
        <v>2</v>
      </c>
      <c r="BL25" s="9">
        <f t="shared" si="23"/>
        <v>0</v>
      </c>
      <c r="BM25" s="9" t="str">
        <f t="shared" si="24"/>
        <v>2E</v>
      </c>
      <c r="BN25" s="9" t="str">
        <f t="shared" si="25"/>
        <v>2E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6</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v>
      </c>
      <c r="BU25" s="9" t="str">
        <f t="shared" si="28"/>
        <v>-</v>
      </c>
      <c r="BV25" s="9" t="str">
        <f t="shared" si="29"/>
        <v>-</v>
      </c>
      <c r="BW25" s="9" t="str">
        <f t="shared" si="30"/>
        <v>-</v>
      </c>
      <c r="BX25" s="9" t="str">
        <f t="shared" si="31"/>
        <v>-</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v>
      </c>
      <c r="CA25" s="9" t="str">
        <f t="shared" si="32"/>
        <v>-</v>
      </c>
      <c r="CB25" s="9" t="str">
        <f t="shared" si="33"/>
        <v>-</v>
      </c>
      <c r="CC25" s="9" t="str">
        <f t="shared" si="34"/>
        <v>-</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v>
      </c>
      <c r="CF25" s="9" t="str">
        <f t="shared" si="35"/>
        <v>-</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v>
      </c>
      <c r="CI25" s="9" t="str">
        <f t="shared" si="36"/>
        <v>-</v>
      </c>
      <c r="CJ25" s="9" t="str">
        <f t="shared" si="37"/>
        <v>-</v>
      </c>
      <c r="CK25" s="9" t="str">
        <f t="shared" si="38"/>
        <v>-</v>
      </c>
      <c r="CL25" s="9" t="str">
        <f t="shared" si="39"/>
        <v>-</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v>
      </c>
      <c r="CO25" s="9" t="str">
        <f t="shared" si="40"/>
        <v>-</v>
      </c>
      <c r="CP25" s="9" t="str">
        <f t="shared" si="41"/>
        <v>-</v>
      </c>
      <c r="CQ25" s="9" t="str">
        <f t="shared" si="42"/>
        <v>-</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v>
      </c>
      <c r="CT25" s="9" t="str">
        <f t="shared" si="43"/>
        <v>-</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v>
      </c>
      <c r="CW25" s="9" t="str">
        <f t="shared" si="44"/>
        <v>-</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v>
      </c>
      <c r="CZ25" s="9" t="str">
        <f t="shared" si="45"/>
        <v>-</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2</v>
      </c>
      <c r="DE25" s="9"/>
      <c r="DF25" s="9">
        <f t="shared" si="46"/>
        <v>2</v>
      </c>
      <c r="DG25" s="9" t="str">
        <f>IF(DB25="-","-",COUNTIFS(DF$6:DF$53,"&lt;"&amp;DF25,$BC$6:$BC$53,INDEX(T_Equipos[Grupo],MATCH(BD25,T_Equipos[NombreEquipo],0))))</f>
        <v>-</v>
      </c>
      <c r="DH25" s="9">
        <f>DA25+COUNTIFS(DB$6:DB$53,DB25,DG$6:DG$53,"&lt;"&amp;DG25,$BC$6:$BC$53,INDEX(T_Equipos[Grupo],MATCH(BD25,T_Equipos[NombreEquipo],0)))</f>
        <v>2</v>
      </c>
      <c r="DI25" s="9"/>
      <c r="DJ25" s="9">
        <f t="shared" si="47"/>
        <v>3</v>
      </c>
      <c r="DK25" s="9">
        <f t="shared" si="48"/>
        <v>12</v>
      </c>
      <c r="DL25" s="9">
        <f t="shared" si="49"/>
        <v>2</v>
      </c>
      <c r="DM25" s="9" t="str">
        <f t="shared" si="50"/>
        <v>3.2</v>
      </c>
      <c r="DN25" s="9">
        <f t="array" aca="1" ref="DN25" ca="1">OFFSET(Horarios!$P$3,DJ25-1,0,DL25,1)</f>
        <v>3</v>
      </c>
      <c r="DO25" s="9"/>
      <c r="DP25" s="9" t="s">
        <v>95</v>
      </c>
      <c r="DQ25" s="9" t="str">
        <f t="shared" si="51"/>
        <v>Ivory Coast</v>
      </c>
    </row>
    <row r="26" spans="1:121" ht="16.149999999999999" customHeight="1" thickBot="1">
      <c r="V26" s="379"/>
      <c r="W26" s="454"/>
      <c r="X26" s="455"/>
      <c r="Y26" s="454"/>
      <c r="Z26" s="456"/>
      <c r="AA26" s="457"/>
      <c r="AB26" s="458"/>
      <c r="AC26" s="459"/>
      <c r="AD26" s="459"/>
      <c r="AE26" s="458"/>
      <c r="AF26" s="460"/>
      <c r="AG26" s="484"/>
      <c r="AH26" s="405"/>
      <c r="AI26" s="374"/>
      <c r="AJ26" s="461"/>
      <c r="AK26" s="462"/>
      <c r="AL26" s="395"/>
      <c r="AM26" s="463"/>
      <c r="AN26" s="461"/>
      <c r="AO26" s="461"/>
      <c r="AP26" s="461"/>
      <c r="AQ26" s="461"/>
      <c r="AR26" s="461"/>
      <c r="AS26" s="461"/>
      <c r="AT26" s="461"/>
      <c r="AU26" s="425"/>
      <c r="AV26" s="464"/>
      <c r="AW26" s="427"/>
      <c r="AX26" s="428"/>
      <c r="AY26" s="454"/>
      <c r="AZ26" s="455"/>
      <c r="BA26" s="378"/>
      <c r="BC26" s="9" t="str">
        <f>+INDEX(T_Equipos[Grupo],MATCH(WORLDCUP!BD26,T_Equipos[NombreEquipo],0))</f>
        <v>F</v>
      </c>
      <c r="BD26" s="9" t="str">
        <f>+Equipos!B22</f>
        <v>Netherlands</v>
      </c>
      <c r="BE26" s="9">
        <f t="shared" si="16"/>
        <v>9</v>
      </c>
      <c r="BF26" s="9">
        <f t="shared" si="17"/>
        <v>3</v>
      </c>
      <c r="BG26" s="9">
        <f t="shared" si="18"/>
        <v>3</v>
      </c>
      <c r="BH26" s="9">
        <f t="shared" si="19"/>
        <v>0</v>
      </c>
      <c r="BI26" s="9">
        <f t="shared" si="20"/>
        <v>0</v>
      </c>
      <c r="BJ26" s="9">
        <f t="shared" si="21"/>
        <v>6</v>
      </c>
      <c r="BK26" s="9">
        <f t="shared" si="22"/>
        <v>2</v>
      </c>
      <c r="BL26" s="9">
        <f t="shared" si="23"/>
        <v>4</v>
      </c>
      <c r="BM26" s="9" t="str">
        <f t="shared" si="24"/>
        <v>1F</v>
      </c>
      <c r="BN26" s="9" t="str">
        <f t="shared" si="25"/>
        <v>1F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9</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1</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1</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1</v>
      </c>
      <c r="DE26" s="9"/>
      <c r="DF26" s="9">
        <f t="shared" si="46"/>
        <v>1</v>
      </c>
      <c r="DG26" s="9" t="str">
        <f>IF(DB26="-","-",COUNTIFS(DF$6:DF$53,"&lt;"&amp;DF26,$BC$6:$BC$53,INDEX(T_Equipos[Grupo],MATCH(BD26,T_Equipos[NombreEquipo],0))))</f>
        <v>-</v>
      </c>
      <c r="DH26" s="9">
        <f>DA26+COUNTIFS(DB$6:DB$53,DB26,DG$6:DG$53,"&lt;"&amp;DG26,$BC$6:$BC$53,INDEX(T_Equipos[Grupo],MATCH(BD26,T_Equipos[NombreEquipo],0)))</f>
        <v>1</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Netherlands</v>
      </c>
    </row>
    <row r="27" spans="1:121" ht="16.149999999999999" customHeight="1" thickBot="1">
      <c r="V27" s="379"/>
      <c r="W27" s="388"/>
      <c r="X27" s="389" t="str">
        <f>X11</f>
        <v>Date</v>
      </c>
      <c r="Y27" s="389" t="str">
        <f>Y11</f>
        <v>Hour</v>
      </c>
      <c r="Z27" s="390" t="str">
        <f>Z11</f>
        <v>R</v>
      </c>
      <c r="AA27" s="391" t="str">
        <f>AA11</f>
        <v>Home</v>
      </c>
      <c r="AB27" s="392"/>
      <c r="AC27" s="390" t="str">
        <f>AC3</f>
        <v>Goals</v>
      </c>
      <c r="AD27" s="390" t="str">
        <f>AD3</f>
        <v>Goals</v>
      </c>
      <c r="AE27" s="392"/>
      <c r="AF27" s="393" t="str">
        <f>AF11</f>
        <v>Away</v>
      </c>
      <c r="AG27" s="465"/>
      <c r="AH27" s="405"/>
      <c r="AI27" s="382"/>
      <c r="AJ27" s="395"/>
      <c r="AK27" s="466"/>
      <c r="AL27" s="395"/>
      <c r="AM27" s="395"/>
      <c r="AN27" s="395"/>
      <c r="AO27" s="395"/>
      <c r="AP27" s="395"/>
      <c r="AQ27" s="395"/>
      <c r="AR27" s="395"/>
      <c r="AS27" s="395"/>
      <c r="AT27" s="395"/>
      <c r="AU27" s="467"/>
      <c r="AV27" s="384"/>
      <c r="AW27" s="468"/>
      <c r="AX27" s="469"/>
      <c r="AY27" s="454"/>
      <c r="AZ27" s="455"/>
      <c r="BA27" s="378"/>
      <c r="BC27" s="9" t="str">
        <f>+INDEX(T_Equipos[Grupo],MATCH(WORLDCUP!BD27,T_Equipos[NombreEquipo],0))</f>
        <v>F</v>
      </c>
      <c r="BD27" s="9" t="str">
        <f>+Equipos!B23</f>
        <v>Japan</v>
      </c>
      <c r="BE27" s="9">
        <f t="shared" si="16"/>
        <v>3</v>
      </c>
      <c r="BF27" s="9">
        <f t="shared" si="17"/>
        <v>3</v>
      </c>
      <c r="BG27" s="9">
        <f t="shared" si="18"/>
        <v>1</v>
      </c>
      <c r="BH27" s="9">
        <f t="shared" si="19"/>
        <v>0</v>
      </c>
      <c r="BI27" s="9">
        <f t="shared" si="20"/>
        <v>2</v>
      </c>
      <c r="BJ27" s="9">
        <f t="shared" si="21"/>
        <v>3</v>
      </c>
      <c r="BK27" s="9">
        <f t="shared" si="22"/>
        <v>4</v>
      </c>
      <c r="BL27" s="9">
        <f t="shared" si="23"/>
        <v>-1</v>
      </c>
      <c r="BM27" s="9" t="str">
        <f t="shared" si="24"/>
        <v>3F</v>
      </c>
      <c r="BN27" s="9" t="str">
        <f t="shared" si="25"/>
        <v>3F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3</v>
      </c>
      <c r="BS27" s="9">
        <f>BP27+COUNTIFS($BQ$6:$BQ$53,BQ27,$BR$6:BR$53,"&gt;"&amp;BR27,$BC$6:$BC$53,INDEX(T_Equipos[Grupo],MATCH(BD27,T_Equipos[NombreEquipo],0)))</f>
        <v>3</v>
      </c>
      <c r="BT27" s="9" t="str">
        <f>IF(COUNTIFS($BS$6:$BS$53,BS27,$BC$6:$BC$53,INDEX(T_Equipos[Grupo],MATCH(BD27,T_Equipos[NombreEquipo],0)))=1,"-","P."&amp;BS27&amp;" ("&amp;COUNTIFS($BS$6:$BS$53,BS27,$BC$6:$BC$53,INDEX(T_Equipos[Grupo],MATCH(BD27,T_Equipos[NombreEquipo],0)))&amp;")")</f>
        <v>-</v>
      </c>
      <c r="BU27" s="9" t="str">
        <f t="shared" si="28"/>
        <v>-</v>
      </c>
      <c r="BV27" s="9" t="str">
        <f t="shared" si="29"/>
        <v>-</v>
      </c>
      <c r="BW27" s="9" t="str">
        <f t="shared" si="30"/>
        <v>-</v>
      </c>
      <c r="BX27" s="9" t="str">
        <f t="shared" si="31"/>
        <v>-</v>
      </c>
      <c r="BY27" s="9">
        <f>BS27+COUNTIFS($BT$6:$BT$53,BT27,$BX$6:BX$53,"&gt;"&amp;BX27,$BC$6:$BC$53,INDEX(T_Equipos[Grupo],MATCH(BD27,T_Equipos[NombreEquipo],0)))</f>
        <v>3</v>
      </c>
      <c r="BZ27" s="9" t="str">
        <f>IF(COUNTIFS($BY$6:$BY$53,BY27,$BC$6:$BC$53,INDEX(T_Equipos[Grupo],MATCH(BD27,T_Equipos[NombreEquipo],0)))=1,"-","P."&amp;BY27&amp;" ("&amp;COUNTIFS($BY$6:$BY$53,BY27,$BC$6:$BC$53,INDEX(T_Equipos[Grupo],MATCH(BD27,T_Equipos[NombreEquipo],0)))&amp;")")</f>
        <v>-</v>
      </c>
      <c r="CA27" s="9" t="str">
        <f t="shared" si="32"/>
        <v>-</v>
      </c>
      <c r="CB27" s="9" t="str">
        <f t="shared" si="33"/>
        <v>-</v>
      </c>
      <c r="CC27" s="9" t="str">
        <f t="shared" si="34"/>
        <v>-</v>
      </c>
      <c r="CD27" s="9">
        <f>BY27+COUNTIFS($BZ$6:$BZ$53,BZ27,$CC$6:CC$53,"&gt;"&amp;CC27,$BC$6:$BC$53,INDEX(T_Equipos[Grupo],MATCH(BD27,T_Equipos[NombreEquipo],0)))</f>
        <v>3</v>
      </c>
      <c r="CE27" s="9" t="str">
        <f>IF(COUNTIFS($CD$6:$CD$53,CD27,$BC$6:$BC$53,INDEX(T_Equipos[Grupo],MATCH(BD27,T_Equipos[NombreEquipo],0)))=1,"-","P."&amp;CD27&amp;" ("&amp;COUNTIFS($CD$6:$CD$53,CD27,$BC$6:$BC$53,INDEX(T_Equipos[Grupo],MATCH(BD27,T_Equipos[NombreEquipo],0)))&amp;")")</f>
        <v>-</v>
      </c>
      <c r="CF27" s="9" t="str">
        <f t="shared" si="35"/>
        <v>-</v>
      </c>
      <c r="CG27" s="9">
        <f>CD27+COUNTIFS($CE$6:$CE$53,CE27,$CF$6:CF$53,"&gt;"&amp;CF27,$BC$6:$BC$53,INDEX(T_Equipos[Grupo],MATCH(BD27,T_Equipos[NombreEquipo],0)))</f>
        <v>3</v>
      </c>
      <c r="CH27" s="9" t="str">
        <f>IF(COUNTIFS($CG$6:$CG$53,CG27,$BC$6:$BC$53,INDEX(T_Equipos[Grupo],MATCH(BD27,T_Equipos[NombreEquipo],0)))=1,"-","P."&amp;CG27&amp;" ("&amp;COUNTIFS($CG$6:$CG$53,CG27,$BC$6:$BC$53,INDEX(T_Equipos[Grupo],MATCH(BD27,T_Equipos[NombreEquipo],0)))&amp;")")</f>
        <v>-</v>
      </c>
      <c r="CI27" s="9" t="str">
        <f t="shared" si="36"/>
        <v>-</v>
      </c>
      <c r="CJ27" s="9" t="str">
        <f t="shared" si="37"/>
        <v>-</v>
      </c>
      <c r="CK27" s="9" t="str">
        <f t="shared" si="38"/>
        <v>-</v>
      </c>
      <c r="CL27" s="9" t="str">
        <f t="shared" si="39"/>
        <v>-</v>
      </c>
      <c r="CM27" s="9">
        <f>CG27+COUNTIFS($CH$6:$CH$53,CH27,$CL$6:CL$53,"&gt;"&amp;CL27,$BC$6:$BC$53,INDEX(T_Equipos[Grupo],MATCH(BD27,T_Equipos[NombreEquipo],0)))</f>
        <v>3</v>
      </c>
      <c r="CN27" s="9" t="str">
        <f>IF(COUNTIFS($CM$6:$CM$53,CM27,$BC$6:$BC$53,INDEX(T_Equipos[Grupo],MATCH(BD27,T_Equipos[NombreEquipo],0)))=1,"-","P."&amp;CM27&amp;" ("&amp;COUNTIFS($CM$6:$CM$53,CM27,$BC$6:$BC$53,INDEX(T_Equipos[Grupo],MATCH(BD27,T_Equipos[NombreEquipo],0)))&amp;")")</f>
        <v>-</v>
      </c>
      <c r="CO27" s="9" t="str">
        <f t="shared" si="40"/>
        <v>-</v>
      </c>
      <c r="CP27" s="9" t="str">
        <f t="shared" si="41"/>
        <v>-</v>
      </c>
      <c r="CQ27" s="9" t="str">
        <f t="shared" si="42"/>
        <v>-</v>
      </c>
      <c r="CR27" s="9">
        <f>CM27+COUNTIFS($CN$6:$CN$53,CN27,$CQ$6:CQ$53,"&gt;"&amp;CQ27,$BC$6:$BC$53,INDEX(T_Equipos[Grupo],MATCH(BD27,T_Equipos[NombreEquipo],0)))</f>
        <v>3</v>
      </c>
      <c r="CS27" s="9" t="str">
        <f>IF(COUNTIFS($CR$6:$CR$53,CR27,$BC$6:$BC$53,INDEX(T_Equipos[Grupo],MATCH(BD27,T_Equipos[NombreEquipo],0)))=1,"-","P."&amp;CR27&amp;" ("&amp;COUNTIFS($CR$6:$CR$53,CR27,$BC$6:$BC$53,INDEX(T_Equipos[Grupo],MATCH(BD27,T_Equipos[NombreEquipo],0)))&amp;")")</f>
        <v>-</v>
      </c>
      <c r="CT27" s="9" t="str">
        <f t="shared" si="43"/>
        <v>-</v>
      </c>
      <c r="CU27" s="9">
        <f>CR27+COUNTIFS($CS$6:$CS$53,CS27,$CT$6:CT$53,"&gt;"&amp;CT27,$BC$6:$BC$53,INDEX(T_Equipos[Grupo],MATCH(BD27,T_Equipos[NombreEquipo],0)))</f>
        <v>3</v>
      </c>
      <c r="CV27" s="9" t="str">
        <f>IF(COUNTIFS($CU$6:$CU$53,CU27,$BC$6:$BC$53,INDEX(T_Equipos[Grupo],MATCH(BD27,T_Equipos[NombreEquipo],0)))=1,"-","P."&amp;CU27&amp;" ("&amp;COUNTIFS($CU$6:$CU$53,CU27,$BC$6:$BC$53,INDEX(T_Equipos[Grupo],MATCH(BD27,T_Equipos[NombreEquipo],0)))&amp;")")</f>
        <v>-</v>
      </c>
      <c r="CW27" s="9" t="str">
        <f t="shared" si="44"/>
        <v>-</v>
      </c>
      <c r="CX27" s="9">
        <f>CU27+COUNTIFS($CV$6:$CV$53,CV27,$CW$6:CW$53,"&gt;"&amp;CW27,$BC$6:$BC$53,INDEX(T_Equipos[Grupo],MATCH(BD27,T_Equipos[NombreEquipo],0)))</f>
        <v>3</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3</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3</v>
      </c>
      <c r="DE27" s="9"/>
      <c r="DF27" s="9">
        <f t="shared" si="46"/>
        <v>3</v>
      </c>
      <c r="DG27" s="9" t="str">
        <f>IF(DB27="-","-",COUNTIFS(DF$6:DF$53,"&lt;"&amp;DF27,$BC$6:$BC$53,INDEX(T_Equipos[Grupo],MATCH(BD27,T_Equipos[NombreEquipo],0))))</f>
        <v>-</v>
      </c>
      <c r="DH27" s="9">
        <f>DA27+COUNTIFS(DB$6:DB$53,DB27,DG$6:DG$53,"&lt;"&amp;DG27,$BC$6:$BC$53,INDEX(T_Equipos[Grupo],MATCH(BD27,T_Equipos[NombreEquipo],0)))</f>
        <v>3</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Sweden</v>
      </c>
    </row>
    <row r="28" spans="1:121" ht="16.149999999999999" customHeight="1" thickBot="1">
      <c r="A28" s="8" t="s">
        <v>19</v>
      </c>
      <c r="B28" s="8" t="s">
        <v>98</v>
      </c>
      <c r="C28" s="8">
        <f>COUNTIF(Equipos!$C$2:$C$49,WORLDCUP!B28)</f>
        <v>4</v>
      </c>
      <c r="D28" s="8" t="str">
        <f t="shared" ref="D28:D33" si="84">IF(OR(AC28="",AD28=""),"Pendiente",IF(AC28&gt;AD28,"Local",IF(AC28&lt;AD28,"Visitante","Empate")))</f>
        <v>Local</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79"/>
      <c r="W28" s="635" t="s">
        <v>98</v>
      </c>
      <c r="X28" s="397">
        <f>Horarios!C28</f>
        <v>46185.875</v>
      </c>
      <c r="Y28" s="398">
        <f>Horarios!C28</f>
        <v>46185.875</v>
      </c>
      <c r="Z28" s="399" t="str">
        <f>$Z$4</f>
        <v>R1</v>
      </c>
      <c r="AA28" s="400" t="str">
        <f>A29</f>
        <v>United States</v>
      </c>
      <c r="AB28" s="401" t="str">
        <f t="array" aca="1" ref="AB28" ca="1">Ver_flag_local</f>
        <v/>
      </c>
      <c r="AC28" s="15">
        <v>1</v>
      </c>
      <c r="AD28" s="16">
        <v>0</v>
      </c>
      <c r="AE28" s="402" t="str">
        <f t="array" aca="1" ref="AE28" ca="1">Ver_flag_visit</f>
        <v/>
      </c>
      <c r="AF28" s="403" t="str">
        <f>A30</f>
        <v>Paraguay</v>
      </c>
      <c r="AG28" s="404">
        <f t="shared" ref="AG28:AG33" si="97">IF(NOT(OR(ISBLANK(AC28),ISBLANK(AD28))),1,0)</f>
        <v>1</v>
      </c>
      <c r="AH28" s="405">
        <v>4</v>
      </c>
      <c r="AI28" s="406"/>
      <c r="AJ28" s="407" t="str">
        <f>CONCATENATE(AJ3," ",B28)</f>
        <v>Group D</v>
      </c>
      <c r="AK28" s="408"/>
      <c r="AL28" s="408"/>
      <c r="AM28" s="408"/>
      <c r="AN28" s="408"/>
      <c r="AO28" s="408"/>
      <c r="AP28" s="408"/>
      <c r="AQ28" s="408"/>
      <c r="AR28" s="408"/>
      <c r="AS28" s="408"/>
      <c r="AT28" s="409"/>
      <c r="AU28" s="467"/>
      <c r="AV28" s="410" t="str">
        <f>IF(AU29&gt;0,$AV$3,"")</f>
        <v/>
      </c>
      <c r="AW28" s="471"/>
      <c r="AX28" s="471"/>
      <c r="AY28" s="454"/>
      <c r="AZ28" s="455"/>
      <c r="BA28" s="378"/>
      <c r="BC28" s="9" t="str">
        <f>+INDEX(T_Equipos[Grupo],MATCH(WORLDCUP!BD28,T_Equipos[NombreEquipo],0))</f>
        <v>F</v>
      </c>
      <c r="BD28" s="9" t="str">
        <f>+Equipos!B24</f>
        <v>Sweden</v>
      </c>
      <c r="BE28" s="9">
        <f t="shared" si="16"/>
        <v>6</v>
      </c>
      <c r="BF28" s="9">
        <f t="shared" si="17"/>
        <v>3</v>
      </c>
      <c r="BG28" s="9">
        <f t="shared" si="18"/>
        <v>2</v>
      </c>
      <c r="BH28" s="9">
        <f t="shared" si="19"/>
        <v>0</v>
      </c>
      <c r="BI28" s="9">
        <f t="shared" si="20"/>
        <v>1</v>
      </c>
      <c r="BJ28" s="9">
        <f t="shared" si="21"/>
        <v>5</v>
      </c>
      <c r="BK28" s="9">
        <f t="shared" si="22"/>
        <v>2</v>
      </c>
      <c r="BL28" s="9">
        <f t="shared" si="23"/>
        <v>3</v>
      </c>
      <c r="BM28" s="9" t="str">
        <f t="shared" si="24"/>
        <v>2F</v>
      </c>
      <c r="BN28" s="9" t="str">
        <f t="shared" si="25"/>
        <v>2F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6</v>
      </c>
      <c r="BS28" s="9">
        <f>BP28+COUNTIFS($BQ$6:$BQ$53,BQ28,$BR$6:BR$53,"&gt;"&amp;BR28,$BC$6:$BC$53,INDEX(T_Equipos[Grupo],MATCH(BD28,T_Equipos[NombreEquipo],0)))</f>
        <v>2</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2</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2</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2</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2</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2</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2</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2</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2</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2</v>
      </c>
      <c r="DE28" s="9"/>
      <c r="DF28" s="9">
        <f t="shared" si="46"/>
        <v>2</v>
      </c>
      <c r="DG28" s="9" t="str">
        <f>IF(DB28="-","-",COUNTIFS(DF$6:DF$53,"&lt;"&amp;DF28,$BC$6:$BC$53,INDEX(T_Equipos[Grupo],MATCH(BD28,T_Equipos[NombreEquipo],0))))</f>
        <v>-</v>
      </c>
      <c r="DH28" s="9">
        <f>DA28+COUNTIFS(DB$6:DB$53,DB28,DG$6:DG$53,"&lt;"&amp;DG28,$BC$6:$BC$53,INDEX(T_Equipos[Grupo],MATCH(BD28,T_Equipos[NombreEquipo],0)))</f>
        <v>2</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Japan</v>
      </c>
    </row>
    <row r="29" spans="1:121" ht="16.149999999999999" customHeight="1">
      <c r="A29" s="8" t="str">
        <f>+Equipos!B14</f>
        <v>United States</v>
      </c>
      <c r="D29" s="8" t="str">
        <f t="shared" si="84"/>
        <v>Visitante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79"/>
      <c r="W29" s="607"/>
      <c r="X29" s="397">
        <f>Horarios!C29</f>
        <v>46187</v>
      </c>
      <c r="Y29" s="398">
        <f>Horarios!C29</f>
        <v>46187</v>
      </c>
      <c r="Z29" s="399" t="str">
        <f>$Z$4</f>
        <v>R1</v>
      </c>
      <c r="AA29" s="400" t="str">
        <f>A31</f>
        <v>Australia</v>
      </c>
      <c r="AB29" s="401" t="str">
        <f t="array" aca="1" ref="AB29" ca="1">Ver_flag_local</f>
        <v/>
      </c>
      <c r="AC29" s="15">
        <v>0</v>
      </c>
      <c r="AD29" s="16">
        <v>2</v>
      </c>
      <c r="AE29" s="402" t="str">
        <f t="array" aca="1" ref="AE29" ca="1">Ver_flag_visit</f>
        <v/>
      </c>
      <c r="AF29" s="403" t="str">
        <f>A32</f>
        <v>Turkey</v>
      </c>
      <c r="AG29" s="404">
        <f t="shared" si="97"/>
        <v>1</v>
      </c>
      <c r="AH29" s="405">
        <v>6</v>
      </c>
      <c r="AI29" s="406"/>
      <c r="AJ29" s="412" t="str">
        <f>AJ5</f>
        <v>Pos</v>
      </c>
      <c r="AK29" s="413"/>
      <c r="AL29" s="414" t="str">
        <f t="shared" ref="AL29:AT29" si="98">AL5</f>
        <v>Nation</v>
      </c>
      <c r="AM29" s="413" t="str">
        <f t="shared" si="98"/>
        <v>Pts</v>
      </c>
      <c r="AN29" s="413" t="str">
        <f t="shared" si="98"/>
        <v>P</v>
      </c>
      <c r="AO29" s="413" t="str">
        <f t="shared" si="98"/>
        <v>W</v>
      </c>
      <c r="AP29" s="413" t="str">
        <f t="shared" si="98"/>
        <v>D</v>
      </c>
      <c r="AQ29" s="413" t="str">
        <f t="shared" si="98"/>
        <v>L</v>
      </c>
      <c r="AR29" s="413" t="str">
        <f t="shared" si="98"/>
        <v>F</v>
      </c>
      <c r="AS29" s="413" t="str">
        <f t="shared" si="98"/>
        <v>A</v>
      </c>
      <c r="AT29" s="415" t="str">
        <f t="shared" si="98"/>
        <v>GD</v>
      </c>
      <c r="AU29" s="467">
        <f>COUNTIF(AU30:AU33,"&gt;1")</f>
        <v>0</v>
      </c>
      <c r="AV29" s="416"/>
      <c r="AW29" s="471"/>
      <c r="AX29" s="471"/>
      <c r="AY29" s="417" t="str">
        <f>AL29</f>
        <v>Nation</v>
      </c>
      <c r="AZ29" s="418" t="str">
        <f>+Idiomas!$D$67</f>
        <v>Deducted Points</v>
      </c>
      <c r="BA29" s="378"/>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0</v>
      </c>
      <c r="BK29" s="9">
        <f t="shared" si="22"/>
        <v>6</v>
      </c>
      <c r="BL29" s="9">
        <f t="shared" si="23"/>
        <v>-6</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79"/>
      <c r="W30" s="607"/>
      <c r="X30" s="397">
        <f>Horarios!C30</f>
        <v>46192.625</v>
      </c>
      <c r="Y30" s="398">
        <f>Horarios!C30</f>
        <v>46192.625</v>
      </c>
      <c r="Z30" s="399" t="str">
        <f>$Z$6</f>
        <v>R2</v>
      </c>
      <c r="AA30" s="400" t="str">
        <f>A29</f>
        <v>United States</v>
      </c>
      <c r="AB30" s="401" t="str">
        <f t="array" aca="1" ref="AB30" ca="1">Ver_flag_local</f>
        <v/>
      </c>
      <c r="AC30" s="15">
        <v>1</v>
      </c>
      <c r="AD30" s="16">
        <v>0</v>
      </c>
      <c r="AE30" s="402" t="str">
        <f t="array" aca="1" ref="AE30" ca="1">Ver_flag_visit</f>
        <v/>
      </c>
      <c r="AF30" s="403" t="str">
        <f>A31</f>
        <v>Australia</v>
      </c>
      <c r="AG30" s="404">
        <f t="shared" si="97"/>
        <v>1</v>
      </c>
      <c r="AH30" s="405">
        <v>32</v>
      </c>
      <c r="AI30" s="406" t="str">
        <f>AJ30&amp;$B$28</f>
        <v>1D</v>
      </c>
      <c r="AJ30" s="419">
        <v>1</v>
      </c>
      <c r="AK30" s="473" t="str">
        <f t="array" aca="1" ref="AK30" ca="1">Ver_flag_visit</f>
        <v/>
      </c>
      <c r="AL30" s="421" t="str">
        <f>IFERROR(INDEX($BD$6:$BD$53,MATCH(AI30,$BN$6:$BN$53,0)),"")</f>
        <v>Turkey</v>
      </c>
      <c r="AM30" s="422">
        <f t="shared" ref="AM30:AT33" si="99">INDEX($BE$6:$BN$53,MATCH($AL30,$BD$6:$BD$53,0),MATCH(AM$5,$BE$5:$BN$5,0))</f>
        <v>7</v>
      </c>
      <c r="AN30" s="423">
        <f t="shared" si="99"/>
        <v>3</v>
      </c>
      <c r="AO30" s="423">
        <f t="shared" si="99"/>
        <v>2</v>
      </c>
      <c r="AP30" s="423">
        <f t="shared" si="99"/>
        <v>1</v>
      </c>
      <c r="AQ30" s="423">
        <f t="shared" si="99"/>
        <v>0</v>
      </c>
      <c r="AR30" s="423">
        <f t="shared" si="99"/>
        <v>5</v>
      </c>
      <c r="AS30" s="423">
        <f t="shared" si="99"/>
        <v>1</v>
      </c>
      <c r="AT30" s="424">
        <f t="shared" si="99"/>
        <v>4</v>
      </c>
      <c r="AU30" s="425">
        <f>INDEX($DL$6:$DL$53,MATCH(AI30,$DP$6:$DP$53,0))</f>
        <v>1</v>
      </c>
      <c r="AV30" s="426" t="str">
        <f>INDEX($BD$6:$BD$53,MATCH(AI30,$BM$6:$BM$53,0))</f>
        <v>Turkey</v>
      </c>
      <c r="AW30" s="579"/>
      <c r="AX30" s="428"/>
      <c r="AY30" s="429" t="str">
        <f>+A29</f>
        <v>United States</v>
      </c>
      <c r="AZ30" s="430"/>
      <c r="BA30" s="378"/>
      <c r="BC30" s="9" t="str">
        <f>+INDEX(T_Equipos[Grupo],MATCH(WORLDCUP!BD30,T_Equipos[NombreEquipo],0))</f>
        <v>G</v>
      </c>
      <c r="BD30" s="9" t="str">
        <f>+Equipos!B26</f>
        <v>Belgium</v>
      </c>
      <c r="BE30" s="9">
        <f t="shared" si="16"/>
        <v>9</v>
      </c>
      <c r="BF30" s="9">
        <f t="shared" si="17"/>
        <v>3</v>
      </c>
      <c r="BG30" s="9">
        <f t="shared" si="18"/>
        <v>3</v>
      </c>
      <c r="BH30" s="9">
        <f t="shared" si="19"/>
        <v>0</v>
      </c>
      <c r="BI30" s="9">
        <f t="shared" si="20"/>
        <v>0</v>
      </c>
      <c r="BJ30" s="9">
        <f t="shared" si="21"/>
        <v>6</v>
      </c>
      <c r="BK30" s="9">
        <f t="shared" si="22"/>
        <v>1</v>
      </c>
      <c r="BL30" s="9">
        <f t="shared" si="23"/>
        <v>5</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9</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Empate</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79"/>
      <c r="W31" s="607"/>
      <c r="X31" s="397">
        <f>Horarios!C31</f>
        <v>46192.958333333343</v>
      </c>
      <c r="Y31" s="398">
        <f>Horarios!C31</f>
        <v>46192.958333333343</v>
      </c>
      <c r="Z31" s="399" t="str">
        <f>$Z$6</f>
        <v>R2</v>
      </c>
      <c r="AA31" s="400" t="str">
        <f>A32</f>
        <v>Turkey</v>
      </c>
      <c r="AB31" s="401" t="str">
        <f t="array" aca="1" ref="AB31" ca="1">Ver_flag_local</f>
        <v/>
      </c>
      <c r="AC31" s="15">
        <v>1</v>
      </c>
      <c r="AD31" s="16">
        <v>1</v>
      </c>
      <c r="AE31" s="402" t="str">
        <f t="array" aca="1" ref="AE31" ca="1">Ver_flag_visit</f>
        <v/>
      </c>
      <c r="AF31" s="403" t="str">
        <f>A30</f>
        <v>Paraguay</v>
      </c>
      <c r="AG31" s="404">
        <f t="shared" si="97"/>
        <v>1</v>
      </c>
      <c r="AH31" s="405">
        <v>31</v>
      </c>
      <c r="AI31" s="406" t="str">
        <f>AJ31&amp;$B$28</f>
        <v>2D</v>
      </c>
      <c r="AJ31" s="431">
        <v>2</v>
      </c>
      <c r="AK31" s="476" t="str">
        <f t="array" aca="1" ref="AK31" ca="1">Ver_flag_visit</f>
        <v/>
      </c>
      <c r="AL31" s="433" t="str">
        <f>IFERROR(INDEX($BD$6:$BD$53,MATCH(AI31,$BN$6:$BN$53,0)),"")</f>
        <v>United States</v>
      </c>
      <c r="AM31" s="434">
        <f t="shared" si="99"/>
        <v>6</v>
      </c>
      <c r="AN31" s="435">
        <f t="shared" si="99"/>
        <v>3</v>
      </c>
      <c r="AO31" s="435">
        <f t="shared" si="99"/>
        <v>2</v>
      </c>
      <c r="AP31" s="435">
        <f t="shared" si="99"/>
        <v>0</v>
      </c>
      <c r="AQ31" s="435">
        <f t="shared" si="99"/>
        <v>1</v>
      </c>
      <c r="AR31" s="435">
        <f t="shared" si="99"/>
        <v>2</v>
      </c>
      <c r="AS31" s="435">
        <f t="shared" si="99"/>
        <v>2</v>
      </c>
      <c r="AT31" s="436">
        <f t="shared" si="99"/>
        <v>0</v>
      </c>
      <c r="AU31" s="425">
        <f>INDEX($DL$6:$DL$53,MATCH(AI31,$DP$6:$DP$53,0))</f>
        <v>1</v>
      </c>
      <c r="AV31" s="426" t="str">
        <f>INDEX($BD$6:$BD$53,MATCH(AI31,$BM$6:$BM$53,0))</f>
        <v>United States</v>
      </c>
      <c r="AW31" s="579"/>
      <c r="AX31" s="428"/>
      <c r="AY31" s="437" t="str">
        <f>+A30</f>
        <v>Paraguay</v>
      </c>
      <c r="AZ31" s="438"/>
      <c r="BA31" s="378"/>
      <c r="BC31" s="9" t="str">
        <f>+INDEX(T_Equipos[Grupo],MATCH(WORLDCUP!BD31,T_Equipos[NombreEquipo],0))</f>
        <v>G</v>
      </c>
      <c r="BD31" s="9" t="str">
        <f>+Equipos!B27</f>
        <v>Egypt</v>
      </c>
      <c r="BE31" s="9">
        <f t="shared" si="16"/>
        <v>1</v>
      </c>
      <c r="BF31" s="9">
        <f t="shared" si="17"/>
        <v>3</v>
      </c>
      <c r="BG31" s="9">
        <f t="shared" si="18"/>
        <v>0</v>
      </c>
      <c r="BH31" s="9">
        <f t="shared" si="19"/>
        <v>1</v>
      </c>
      <c r="BI31" s="9">
        <f t="shared" si="20"/>
        <v>2</v>
      </c>
      <c r="BJ31" s="9">
        <f t="shared" si="21"/>
        <v>1</v>
      </c>
      <c r="BK31" s="9">
        <f t="shared" si="22"/>
        <v>4</v>
      </c>
      <c r="BL31" s="9">
        <f t="shared" si="23"/>
        <v>-3</v>
      </c>
      <c r="BM31" s="9" t="str">
        <f t="shared" si="24"/>
        <v>3G</v>
      </c>
      <c r="BN31" s="9" t="str">
        <f t="shared" si="25"/>
        <v>3G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1</v>
      </c>
      <c r="BS31" s="9">
        <f>BP31+COUNTIFS($BQ$6:$BQ$53,BQ31,$BR$6:BR$53,"&gt;"&amp;BR31,$BC$6:$BC$53,INDEX(T_Equipos[Grupo],MATCH(BD31,T_Equipos[NombreEquipo],0)))</f>
        <v>3</v>
      </c>
      <c r="BT31" s="9" t="str">
        <f>IF(COUNTIFS($BS$6:$BS$53,BS31,$BC$6:$BC$53,INDEX(T_Equipos[Grupo],MATCH(BD31,T_Equipos[NombreEquipo],0)))=1,"-","P."&amp;BS31&amp;" ("&amp;COUNTIFS($BS$6:$BS$53,BS31,$BC$6:$BC$53,INDEX(T_Equipos[Grupo],MATCH(BD31,T_Equipos[NombreEquipo],0)))&amp;")")</f>
        <v>P.3 (2)</v>
      </c>
      <c r="BU31" s="9">
        <f t="shared" si="28"/>
        <v>0</v>
      </c>
      <c r="BV31" s="9">
        <f t="shared" si="29"/>
        <v>1</v>
      </c>
      <c r="BW31" s="9">
        <f t="shared" si="30"/>
        <v>0</v>
      </c>
      <c r="BX31" s="9">
        <f t="shared" si="31"/>
        <v>1</v>
      </c>
      <c r="BY31" s="9">
        <f>BS31+COUNTIFS($BT$6:$BT$53,BT31,$BX$6:BX$53,"&gt;"&amp;BX31,$BC$6:$BC$53,INDEX(T_Equipos[Grupo],MATCH(BD31,T_Equipos[NombreEquipo],0)))</f>
        <v>3</v>
      </c>
      <c r="BZ31" s="9" t="str">
        <f>IF(COUNTIFS($BY$6:$BY$53,BY31,$BC$6:$BC$53,INDEX(T_Equipos[Grupo],MATCH(BD31,T_Equipos[NombreEquipo],0)))=1,"-","P."&amp;BY31&amp;" ("&amp;COUNTIFS($BY$6:$BY$53,BY31,$BC$6:$BC$53,INDEX(T_Equipos[Grupo],MATCH(BD31,T_Equipos[NombreEquipo],0)))&amp;")")</f>
        <v>P.3 (2)</v>
      </c>
      <c r="CA31" s="9">
        <f t="shared" si="32"/>
        <v>1</v>
      </c>
      <c r="CB31" s="9">
        <f t="shared" si="33"/>
        <v>1</v>
      </c>
      <c r="CC31" s="9">
        <f t="shared" si="34"/>
        <v>0</v>
      </c>
      <c r="CD31" s="9">
        <f>BY31+COUNTIFS($BZ$6:$BZ$53,BZ31,$CC$6:CC$53,"&gt;"&amp;CC31,$BC$6:$BC$53,INDEX(T_Equipos[Grupo],MATCH(BD31,T_Equipos[NombreEquipo],0)))</f>
        <v>3</v>
      </c>
      <c r="CE31" s="9" t="str">
        <f>IF(COUNTIFS($CD$6:$CD$53,CD31,$BC$6:$BC$53,INDEX(T_Equipos[Grupo],MATCH(BD31,T_Equipos[NombreEquipo],0)))=1,"-","P."&amp;CD31&amp;" ("&amp;COUNTIFS($CD$6:$CD$53,CD31,$BC$6:$BC$53,INDEX(T_Equipos[Grupo],MATCH(BD31,T_Equipos[NombreEquipo],0)))&amp;")")</f>
        <v>P.3 (2)</v>
      </c>
      <c r="CF31" s="9">
        <f t="shared" si="35"/>
        <v>1</v>
      </c>
      <c r="CG31" s="9">
        <f>CD31+COUNTIFS($CE$6:$CE$53,CE31,$CF$6:CF$53,"&gt;"&amp;CF31,$BC$6:$BC$53,INDEX(T_Equipos[Grupo],MATCH(BD31,T_Equipos[NombreEquipo],0)))</f>
        <v>3</v>
      </c>
      <c r="CH31" s="9" t="str">
        <f>IF(COUNTIFS($CG$6:$CG$53,CG31,$BC$6:$BC$53,INDEX(T_Equipos[Grupo],MATCH(BD31,T_Equipos[NombreEquipo],0)))=1,"-","P."&amp;CG31&amp;" ("&amp;COUNTIFS($CG$6:$CG$53,CG31,$BC$6:$BC$53,INDEX(T_Equipos[Grupo],MATCH(BD31,T_Equipos[NombreEquipo],0)))&amp;")")</f>
        <v>P.3 (2)</v>
      </c>
      <c r="CI31" s="9">
        <f t="shared" si="36"/>
        <v>0</v>
      </c>
      <c r="CJ31" s="9">
        <f t="shared" si="37"/>
        <v>1</v>
      </c>
      <c r="CK31" s="9">
        <f t="shared" si="38"/>
        <v>0</v>
      </c>
      <c r="CL31" s="9">
        <f t="shared" si="39"/>
        <v>1</v>
      </c>
      <c r="CM31" s="9">
        <f>CG31+COUNTIFS($CH$6:$CH$53,CH31,$CL$6:CL$53,"&gt;"&amp;CL31,$BC$6:$BC$53,INDEX(T_Equipos[Grupo],MATCH(BD31,T_Equipos[NombreEquipo],0)))</f>
        <v>3</v>
      </c>
      <c r="CN31" s="9" t="str">
        <f>IF(COUNTIFS($CM$6:$CM$53,CM31,$BC$6:$BC$53,INDEX(T_Equipos[Grupo],MATCH(BD31,T_Equipos[NombreEquipo],0)))=1,"-","P."&amp;CM31&amp;" ("&amp;COUNTIFS($CM$6:$CM$53,CM31,$BC$6:$BC$53,INDEX(T_Equipos[Grupo],MATCH(BD31,T_Equipos[NombreEquipo],0)))&amp;")")</f>
        <v>P.3 (2)</v>
      </c>
      <c r="CO31" s="9">
        <f t="shared" si="40"/>
        <v>1</v>
      </c>
      <c r="CP31" s="9">
        <f t="shared" si="41"/>
        <v>1</v>
      </c>
      <c r="CQ31" s="9">
        <f t="shared" si="42"/>
        <v>0</v>
      </c>
      <c r="CR31" s="9">
        <f>CM31+COUNTIFS($CN$6:$CN$53,CN31,$CQ$6:CQ$53,"&gt;"&amp;CQ31,$BC$6:$BC$53,INDEX(T_Equipos[Grupo],MATCH(BD31,T_Equipos[NombreEquipo],0)))</f>
        <v>3</v>
      </c>
      <c r="CS31" s="9" t="str">
        <f>IF(COUNTIFS($CR$6:$CR$53,CR31,$BC$6:$BC$53,INDEX(T_Equipos[Grupo],MATCH(BD31,T_Equipos[NombreEquipo],0)))=1,"-","P."&amp;CR31&amp;" ("&amp;COUNTIFS($CR$6:$CR$53,CR31,$BC$6:$BC$53,INDEX(T_Equipos[Grupo],MATCH(BD31,T_Equipos[NombreEquipo],0)))&amp;")")</f>
        <v>P.3 (2)</v>
      </c>
      <c r="CT31" s="9">
        <f t="shared" si="43"/>
        <v>1</v>
      </c>
      <c r="CU31" s="9">
        <f>CR31+COUNTIFS($CS$6:$CS$53,CS31,$CT$6:CT$53,"&gt;"&amp;CT31,$BC$6:$BC$53,INDEX(T_Equipos[Grupo],MATCH(BD31,T_Equipos[NombreEquipo],0)))</f>
        <v>3</v>
      </c>
      <c r="CV31" s="9" t="str">
        <f>IF(COUNTIFS($CU$6:$CU$53,CU31,$BC$6:$BC$53,INDEX(T_Equipos[Grupo],MATCH(BD31,T_Equipos[NombreEquipo],0)))=1,"-","P."&amp;CU31&amp;" ("&amp;COUNTIFS($CU$6:$CU$53,CU31,$BC$6:$BC$53,INDEX(T_Equipos[Grupo],MATCH(BD31,T_Equipos[NombreEquipo],0)))&amp;")")</f>
        <v>P.3 (2)</v>
      </c>
      <c r="CW31" s="9">
        <f t="shared" si="44"/>
        <v>-3</v>
      </c>
      <c r="CX31" s="9">
        <f>CU31+COUNTIFS($CV$6:$CV$53,CV31,$CW$6:CW$53,"&gt;"&amp;CW31,$BC$6:$BC$53,INDEX(T_Equipos[Grupo],MATCH(BD31,T_Equipos[NombreEquipo],0)))</f>
        <v>3</v>
      </c>
      <c r="CY31" s="9" t="str">
        <f>IF(COUNTIFS($CX$6:$CX$53,CX31,$BC$6:$BC$53,INDEX(T_Equipos[Grupo],MATCH(BD31,T_Equipos[NombreEquipo],0)))=1,"-","P."&amp;CX31&amp;" ("&amp;COUNTIFS($CX$6:$CX$53,CX31,$BC$6:$BC$53,INDEX(T_Equipos[Grupo],MATCH(BD31,T_Equipos[NombreEquipo],0)))&amp;")")</f>
        <v>P.3 (2)</v>
      </c>
      <c r="CZ31" s="9">
        <f t="shared" si="45"/>
        <v>1</v>
      </c>
      <c r="DA31" s="9">
        <f>CX31+COUNTIFS($CY$6:$CY$53,CY31,$CZ$6:CZ$53,"&gt;"&amp;CZ31,$BC$6:$BC$53,INDEX(T_Equipos[Grupo],MATCH(BD31,T_Equipos[NombreEquipo],0)))</f>
        <v>3</v>
      </c>
      <c r="DB31" s="9" t="str">
        <f>IF(COUNTIFS($DA$6:$DA$53,DA31,$BC$6:$BC$53,INDEX(T_Equipos[Grupo],MATCH(BD31,T_Equipos[NombreEquipo],0)))=1,"-","P."&amp;DA31&amp;" ("&amp;COUNTIFS($DA$6:$DA$53,DA31,$BC$6:$BC$53,INDEX(T_Equipos[Grupo],MATCH(BD31,T_Equipos[NombreEquipo],0)))&amp;")")</f>
        <v>P.3 (2)</v>
      </c>
      <c r="DC31" s="9">
        <f>IF(DB31="-","-",COUNTIFS(T_Equipos[Rank],"&lt;"&amp;INDEX(T_Equipos[Rank],MATCH(BD31,T_Equipos[NombreEquipo],0)),$BC$6:$BC$53,INDEX(T_Equipos[Grupo],MATCH(BD31,T_Equipos[NombreEquipo],0)))+1)</f>
        <v>2</v>
      </c>
      <c r="DD31" s="9">
        <f>DA31+COUNTIFS($DB$6:$DB$53,DB31,$DC$6:DC$53,"&lt;"&amp;DC31,$BC$6:$BC$53,INDEX(T_Equipos[Grupo],MATCH(BD31,T_Equipos[NombreEquipo],0)))</f>
        <v>3</v>
      </c>
      <c r="DE31" s="9"/>
      <c r="DF31" s="9">
        <f t="shared" si="46"/>
        <v>1.0029999999999999</v>
      </c>
      <c r="DG31" s="9">
        <f>IF(DB31="-","-",COUNTIFS(DF$6:DF$53,"&lt;"&amp;DF31,$BC$6:$BC$53,INDEX(T_Equipos[Grupo],MATCH(BD31,T_Equipos[NombreEquipo],0))))</f>
        <v>1</v>
      </c>
      <c r="DH31" s="9">
        <f>DA31+COUNTIFS(DB$6:DB$53,DB31,DG$6:DG$53,"&lt;"&amp;DG31,$BC$6:$BC$53,INDEX(T_Equipos[Grupo],MATCH(BD31,T_Equipos[NombreEquipo],0)))</f>
        <v>3</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Iran</v>
      </c>
    </row>
    <row r="32" spans="1:121" ht="16.149999999999999" customHeight="1">
      <c r="A32" s="8" t="str">
        <f>+Equipos!B17</f>
        <v>Turkey</v>
      </c>
      <c r="D32" s="8" t="str">
        <f t="shared" si="84"/>
        <v>Local</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79"/>
      <c r="W32" s="607"/>
      <c r="X32" s="397">
        <f>Horarios!C32</f>
        <v>46198.916666666657</v>
      </c>
      <c r="Y32" s="398">
        <f>Horarios!C32</f>
        <v>46198.916666666657</v>
      </c>
      <c r="Z32" s="399" t="str">
        <f>$Z$8</f>
        <v>R3</v>
      </c>
      <c r="AA32" s="400" t="str">
        <f>A32</f>
        <v>Turkey</v>
      </c>
      <c r="AB32" s="401" t="str">
        <f t="array" aca="1" ref="AB32" ca="1">Ver_flag_local</f>
        <v/>
      </c>
      <c r="AC32" s="15">
        <v>2</v>
      </c>
      <c r="AD32" s="16">
        <v>0</v>
      </c>
      <c r="AE32" s="402" t="str">
        <f t="array" aca="1" ref="AE32" ca="1">Ver_flag_visit</f>
        <v/>
      </c>
      <c r="AF32" s="403" t="str">
        <f>A29</f>
        <v>United States</v>
      </c>
      <c r="AG32" s="404">
        <f t="shared" si="97"/>
        <v>1</v>
      </c>
      <c r="AH32" s="405">
        <v>59</v>
      </c>
      <c r="AI32" s="406" t="str">
        <f>AJ32&amp;$B$28</f>
        <v>3D</v>
      </c>
      <c r="AJ32" s="431">
        <v>3</v>
      </c>
      <c r="AK32" s="476" t="str">
        <f t="array" aca="1" ref="AK32" ca="1">Ver_flag_visit</f>
        <v/>
      </c>
      <c r="AL32" s="433" t="str">
        <f>IFERROR(INDEX($BD$6:$BD$53,MATCH(AI32,$BN$6:$BN$53,0)),"")</f>
        <v>Paraguay</v>
      </c>
      <c r="AM32" s="434">
        <f t="shared" si="99"/>
        <v>4</v>
      </c>
      <c r="AN32" s="435">
        <f t="shared" si="99"/>
        <v>3</v>
      </c>
      <c r="AO32" s="435">
        <f t="shared" si="99"/>
        <v>1</v>
      </c>
      <c r="AP32" s="435">
        <f t="shared" si="99"/>
        <v>1</v>
      </c>
      <c r="AQ32" s="435">
        <f t="shared" si="99"/>
        <v>1</v>
      </c>
      <c r="AR32" s="435">
        <f t="shared" si="99"/>
        <v>3</v>
      </c>
      <c r="AS32" s="435">
        <f t="shared" si="99"/>
        <v>2</v>
      </c>
      <c r="AT32" s="436">
        <f t="shared" si="99"/>
        <v>1</v>
      </c>
      <c r="AU32" s="425">
        <f>INDEX($DL$6:$DL$53,MATCH(AI32,$DP$6:$DP$53,0))</f>
        <v>1</v>
      </c>
      <c r="AV32" s="426" t="str">
        <f>INDEX($BD$6:$BD$53,MATCH(AI32,$BM$6:$BM$53,0))</f>
        <v>Paraguay</v>
      </c>
      <c r="AW32" s="579"/>
      <c r="AX32" s="428"/>
      <c r="AY32" s="429" t="str">
        <f>+A31</f>
        <v>Australia</v>
      </c>
      <c r="AZ32" s="430"/>
      <c r="BA32" s="378"/>
      <c r="BC32" s="9" t="str">
        <f>+INDEX(T_Equipos[Grupo],MATCH(WORLDCUP!BD32,T_Equipos[NombreEquipo],0))</f>
        <v>G</v>
      </c>
      <c r="BD32" s="9" t="str">
        <f>+Equipos!B28</f>
        <v>Iran</v>
      </c>
      <c r="BE32" s="9">
        <f t="shared" si="16"/>
        <v>6</v>
      </c>
      <c r="BF32" s="9">
        <f t="shared" si="17"/>
        <v>3</v>
      </c>
      <c r="BG32" s="9">
        <f t="shared" si="18"/>
        <v>2</v>
      </c>
      <c r="BH32" s="9">
        <f t="shared" si="19"/>
        <v>0</v>
      </c>
      <c r="BI32" s="9">
        <f t="shared" si="20"/>
        <v>1</v>
      </c>
      <c r="BJ32" s="9">
        <f t="shared" si="21"/>
        <v>3</v>
      </c>
      <c r="BK32" s="9">
        <f t="shared" si="22"/>
        <v>2</v>
      </c>
      <c r="BL32" s="9">
        <f t="shared" si="23"/>
        <v>1</v>
      </c>
      <c r="BM32" s="9" t="str">
        <f t="shared" si="24"/>
        <v>2G</v>
      </c>
      <c r="BN32" s="9" t="str">
        <f t="shared" si="25"/>
        <v>2G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6</v>
      </c>
      <c r="BS32" s="9">
        <f>BP32+COUNTIFS($BQ$6:$BQ$53,BQ32,$BR$6:BR$53,"&gt;"&amp;BR32,$BC$6:$BC$53,INDEX(T_Equipos[Grupo],MATCH(BD32,T_Equipos[NombreEquipo],0)))</f>
        <v>2</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2</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2</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2</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2</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2</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2</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2</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2</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2</v>
      </c>
      <c r="DE32" s="9"/>
      <c r="DF32" s="9">
        <f t="shared" si="46"/>
        <v>2</v>
      </c>
      <c r="DG32" s="9" t="str">
        <f>IF(DB32="-","-",COUNTIFS(DF$6:DF$53,"&lt;"&amp;DF32,$BC$6:$BC$53,INDEX(T_Equipos[Grupo],MATCH(BD32,T_Equipos[NombreEquipo],0))))</f>
        <v>-</v>
      </c>
      <c r="DH32" s="9">
        <f>DA32+COUNTIFS(DB$6:DB$53,DB32,DG$6:DG$53,"&lt;"&amp;DG32,$BC$6:$BC$53,INDEX(T_Equipos[Grupo],MATCH(BD32,T_Equipos[NombreEquipo],0)))</f>
        <v>2</v>
      </c>
      <c r="DI32" s="9"/>
      <c r="DJ32" s="9">
        <f t="shared" si="47"/>
        <v>3</v>
      </c>
      <c r="DK32" s="9">
        <f t="shared" si="48"/>
        <v>12</v>
      </c>
      <c r="DL32" s="9">
        <f t="shared" si="49"/>
        <v>2</v>
      </c>
      <c r="DM32" s="9" t="str">
        <f t="shared" si="50"/>
        <v>3.2</v>
      </c>
      <c r="DN32" s="9">
        <f t="array" aca="1" ref="DN32" ca="1">OFFSET(Horarios!$P$3,DJ32-1,0,DL32,1)</f>
        <v>3</v>
      </c>
      <c r="DO32" s="9"/>
      <c r="DP32" s="9" t="s">
        <v>103</v>
      </c>
      <c r="DQ32" s="9" t="str">
        <f t="shared" si="51"/>
        <v>Egypt</v>
      </c>
    </row>
    <row r="33" spans="1:121" ht="16.149999999999999" customHeight="1" thickBot="1">
      <c r="D33" s="8" t="str">
        <f t="shared" si="84"/>
        <v>Local</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79"/>
      <c r="W33" s="608"/>
      <c r="X33" s="439">
        <f>Horarios!C33</f>
        <v>46198.916666666657</v>
      </c>
      <c r="Y33" s="440">
        <f>Horarios!C33</f>
        <v>46198.916666666657</v>
      </c>
      <c r="Z33" s="441" t="str">
        <f>$Z$8</f>
        <v>R3</v>
      </c>
      <c r="AA33" s="442" t="str">
        <f>A30</f>
        <v>Paraguay</v>
      </c>
      <c r="AB33" s="443" t="str">
        <f t="array" aca="1" ref="AB33" ca="1">Ver_flag_local</f>
        <v/>
      </c>
      <c r="AC33" s="17">
        <v>2</v>
      </c>
      <c r="AD33" s="18">
        <v>0</v>
      </c>
      <c r="AE33" s="444" t="str">
        <f t="array" aca="1" ref="AE33" ca="1">Ver_flag_visit</f>
        <v/>
      </c>
      <c r="AF33" s="445" t="str">
        <f>A31</f>
        <v>Australia</v>
      </c>
      <c r="AG33" s="404">
        <f t="shared" si="97"/>
        <v>1</v>
      </c>
      <c r="AH33" s="405">
        <v>60</v>
      </c>
      <c r="AI33" s="406" t="str">
        <f>AJ33&amp;$B$28</f>
        <v>4D</v>
      </c>
      <c r="AJ33" s="446">
        <v>4</v>
      </c>
      <c r="AK33" s="485" t="str">
        <f t="array" aca="1" ref="AK33" ca="1">Ver_flag_visit</f>
        <v/>
      </c>
      <c r="AL33" s="448" t="str">
        <f>IFERROR(INDEX($BD$6:$BD$53,MATCH(AI33,$BN$6:$BN$53,0)),"")</f>
        <v>Australia</v>
      </c>
      <c r="AM33" s="449">
        <f t="shared" si="99"/>
        <v>0</v>
      </c>
      <c r="AN33" s="450">
        <f t="shared" si="99"/>
        <v>3</v>
      </c>
      <c r="AO33" s="450">
        <f t="shared" si="99"/>
        <v>0</v>
      </c>
      <c r="AP33" s="450">
        <f t="shared" si="99"/>
        <v>0</v>
      </c>
      <c r="AQ33" s="450">
        <f t="shared" si="99"/>
        <v>3</v>
      </c>
      <c r="AR33" s="450">
        <f t="shared" si="99"/>
        <v>0</v>
      </c>
      <c r="AS33" s="450">
        <f t="shared" si="99"/>
        <v>5</v>
      </c>
      <c r="AT33" s="451">
        <f t="shared" si="99"/>
        <v>-5</v>
      </c>
      <c r="AU33" s="425">
        <f>INDEX($DL$6:$DL$53,MATCH(AI33,$DP$6:$DP$53,0))</f>
        <v>1</v>
      </c>
      <c r="AV33" s="426" t="str">
        <f>INDEX($BD$6:$BD$53,MATCH(AI33,$BM$6:$BM$53,0))</f>
        <v>Australia</v>
      </c>
      <c r="AW33" s="579"/>
      <c r="AX33" s="428"/>
      <c r="AY33" s="452" t="str">
        <f>+A32</f>
        <v>Turkey</v>
      </c>
      <c r="AZ33" s="453"/>
      <c r="BA33" s="378"/>
      <c r="BC33" s="9" t="str">
        <f>+INDEX(T_Equipos[Grupo],MATCH(WORLDCUP!BD33,T_Equipos[NombreEquipo],0))</f>
        <v>G</v>
      </c>
      <c r="BD33" s="9" t="str">
        <f>+Equipos!B29</f>
        <v>New Zealand</v>
      </c>
      <c r="BE33" s="9">
        <f t="shared" si="16"/>
        <v>1</v>
      </c>
      <c r="BF33" s="9">
        <f t="shared" si="17"/>
        <v>3</v>
      </c>
      <c r="BG33" s="9">
        <f t="shared" si="18"/>
        <v>0</v>
      </c>
      <c r="BH33" s="9">
        <f t="shared" si="19"/>
        <v>1</v>
      </c>
      <c r="BI33" s="9">
        <f t="shared" si="20"/>
        <v>2</v>
      </c>
      <c r="BJ33" s="9">
        <f t="shared" si="21"/>
        <v>1</v>
      </c>
      <c r="BK33" s="9">
        <f t="shared" si="22"/>
        <v>4</v>
      </c>
      <c r="BL33" s="9">
        <f t="shared" si="23"/>
        <v>-3</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1</v>
      </c>
      <c r="BS33" s="9">
        <f>BP33+COUNTIFS($BQ$6:$BQ$53,BQ33,$BR$6:BR$53,"&gt;"&amp;BR33,$BC$6:$BC$53,INDEX(T_Equipos[Grupo],MATCH(BD33,T_Equipos[NombreEquipo],0)))</f>
        <v>3</v>
      </c>
      <c r="BT33" s="9" t="str">
        <f>IF(COUNTIFS($BS$6:$BS$53,BS33,$BC$6:$BC$53,INDEX(T_Equipos[Grupo],MATCH(BD33,T_Equipos[NombreEquipo],0)))=1,"-","P."&amp;BS33&amp;" ("&amp;COUNTIFS($BS$6:$BS$53,BS33,$BC$6:$BC$53,INDEX(T_Equipos[Grupo],MATCH(BD33,T_Equipos[NombreEquipo],0)))&amp;")")</f>
        <v>P.3 (2)</v>
      </c>
      <c r="BU33" s="9">
        <f t="shared" si="28"/>
        <v>0</v>
      </c>
      <c r="BV33" s="9">
        <f t="shared" si="29"/>
        <v>1</v>
      </c>
      <c r="BW33" s="9">
        <f t="shared" si="30"/>
        <v>0</v>
      </c>
      <c r="BX33" s="9">
        <f t="shared" si="31"/>
        <v>1</v>
      </c>
      <c r="BY33" s="9">
        <f>BS33+COUNTIFS($BT$6:$BT$53,BT33,$BX$6:BX$53,"&gt;"&amp;BX33,$BC$6:$BC$53,INDEX(T_Equipos[Grupo],MATCH(BD33,T_Equipos[NombreEquipo],0)))</f>
        <v>3</v>
      </c>
      <c r="BZ33" s="9" t="str">
        <f>IF(COUNTIFS($BY$6:$BY$53,BY33,$BC$6:$BC$53,INDEX(T_Equipos[Grupo],MATCH(BD33,T_Equipos[NombreEquipo],0)))=1,"-","P."&amp;BY33&amp;" ("&amp;COUNTIFS($BY$6:$BY$53,BY33,$BC$6:$BC$53,INDEX(T_Equipos[Grupo],MATCH(BD33,T_Equipos[NombreEquipo],0)))&amp;")")</f>
        <v>P.3 (2)</v>
      </c>
      <c r="CA33" s="9">
        <f t="shared" si="32"/>
        <v>1</v>
      </c>
      <c r="CB33" s="9">
        <f t="shared" si="33"/>
        <v>1</v>
      </c>
      <c r="CC33" s="9">
        <f t="shared" si="34"/>
        <v>0</v>
      </c>
      <c r="CD33" s="9">
        <f>BY33+COUNTIFS($BZ$6:$BZ$53,BZ33,$CC$6:CC$53,"&gt;"&amp;CC33,$BC$6:$BC$53,INDEX(T_Equipos[Grupo],MATCH(BD33,T_Equipos[NombreEquipo],0)))</f>
        <v>3</v>
      </c>
      <c r="CE33" s="9" t="str">
        <f>IF(COUNTIFS($CD$6:$CD$53,CD33,$BC$6:$BC$53,INDEX(T_Equipos[Grupo],MATCH(BD33,T_Equipos[NombreEquipo],0)))=1,"-","P."&amp;CD33&amp;" ("&amp;COUNTIFS($CD$6:$CD$53,CD33,$BC$6:$BC$53,INDEX(T_Equipos[Grupo],MATCH(BD33,T_Equipos[NombreEquipo],0)))&amp;")")</f>
        <v>P.3 (2)</v>
      </c>
      <c r="CF33" s="9">
        <f t="shared" si="35"/>
        <v>1</v>
      </c>
      <c r="CG33" s="9">
        <f>CD33+COUNTIFS($CE$6:$CE$53,CE33,$CF$6:CF$53,"&gt;"&amp;CF33,$BC$6:$BC$53,INDEX(T_Equipos[Grupo],MATCH(BD33,T_Equipos[NombreEquipo],0)))</f>
        <v>3</v>
      </c>
      <c r="CH33" s="9" t="str">
        <f>IF(COUNTIFS($CG$6:$CG$53,CG33,$BC$6:$BC$53,INDEX(T_Equipos[Grupo],MATCH(BD33,T_Equipos[NombreEquipo],0)))=1,"-","P."&amp;CG33&amp;" ("&amp;COUNTIFS($CG$6:$CG$53,CG33,$BC$6:$BC$53,INDEX(T_Equipos[Grupo],MATCH(BD33,T_Equipos[NombreEquipo],0)))&amp;")")</f>
        <v>P.3 (2)</v>
      </c>
      <c r="CI33" s="9">
        <f t="shared" si="36"/>
        <v>0</v>
      </c>
      <c r="CJ33" s="9">
        <f t="shared" si="37"/>
        <v>1</v>
      </c>
      <c r="CK33" s="9">
        <f t="shared" si="38"/>
        <v>0</v>
      </c>
      <c r="CL33" s="9">
        <f t="shared" si="39"/>
        <v>1</v>
      </c>
      <c r="CM33" s="9">
        <f>CG33+COUNTIFS($CH$6:$CH$53,CH33,$CL$6:CL$53,"&gt;"&amp;CL33,$BC$6:$BC$53,INDEX(T_Equipos[Grupo],MATCH(BD33,T_Equipos[NombreEquipo],0)))</f>
        <v>3</v>
      </c>
      <c r="CN33" s="9" t="str">
        <f>IF(COUNTIFS($CM$6:$CM$53,CM33,$BC$6:$BC$53,INDEX(T_Equipos[Grupo],MATCH(BD33,T_Equipos[NombreEquipo],0)))=1,"-","P."&amp;CM33&amp;" ("&amp;COUNTIFS($CM$6:$CM$53,CM33,$BC$6:$BC$53,INDEX(T_Equipos[Grupo],MATCH(BD33,T_Equipos[NombreEquipo],0)))&amp;")")</f>
        <v>P.3 (2)</v>
      </c>
      <c r="CO33" s="9">
        <f t="shared" si="40"/>
        <v>1</v>
      </c>
      <c r="CP33" s="9">
        <f t="shared" si="41"/>
        <v>1</v>
      </c>
      <c r="CQ33" s="9">
        <f t="shared" si="42"/>
        <v>0</v>
      </c>
      <c r="CR33" s="9">
        <f>CM33+COUNTIFS($CN$6:$CN$53,CN33,$CQ$6:CQ$53,"&gt;"&amp;CQ33,$BC$6:$BC$53,INDEX(T_Equipos[Grupo],MATCH(BD33,T_Equipos[NombreEquipo],0)))</f>
        <v>3</v>
      </c>
      <c r="CS33" s="9" t="str">
        <f>IF(COUNTIFS($CR$6:$CR$53,CR33,$BC$6:$BC$53,INDEX(T_Equipos[Grupo],MATCH(BD33,T_Equipos[NombreEquipo],0)))=1,"-","P."&amp;CR33&amp;" ("&amp;COUNTIFS($CR$6:$CR$53,CR33,$BC$6:$BC$53,INDEX(T_Equipos[Grupo],MATCH(BD33,T_Equipos[NombreEquipo],0)))&amp;")")</f>
        <v>P.3 (2)</v>
      </c>
      <c r="CT33" s="9">
        <f t="shared" si="43"/>
        <v>1</v>
      </c>
      <c r="CU33" s="9">
        <f>CR33+COUNTIFS($CS$6:$CS$53,CS33,$CT$6:CT$53,"&gt;"&amp;CT33,$BC$6:$BC$53,INDEX(T_Equipos[Grupo],MATCH(BD33,T_Equipos[NombreEquipo],0)))</f>
        <v>3</v>
      </c>
      <c r="CV33" s="9" t="str">
        <f>IF(COUNTIFS($CU$6:$CU$53,CU33,$BC$6:$BC$53,INDEX(T_Equipos[Grupo],MATCH(BD33,T_Equipos[NombreEquipo],0)))=1,"-","P."&amp;CU33&amp;" ("&amp;COUNTIFS($CU$6:$CU$53,CU33,$BC$6:$BC$53,INDEX(T_Equipos[Grupo],MATCH(BD33,T_Equipos[NombreEquipo],0)))&amp;")")</f>
        <v>P.3 (2)</v>
      </c>
      <c r="CW33" s="9">
        <f t="shared" si="44"/>
        <v>-3</v>
      </c>
      <c r="CX33" s="9">
        <f>CU33+COUNTIFS($CV$6:$CV$53,CV33,$CW$6:CW$53,"&gt;"&amp;CW33,$BC$6:$BC$53,INDEX(T_Equipos[Grupo],MATCH(BD33,T_Equipos[NombreEquipo],0)))</f>
        <v>3</v>
      </c>
      <c r="CY33" s="9" t="str">
        <f>IF(COUNTIFS($CX$6:$CX$53,CX33,$BC$6:$BC$53,INDEX(T_Equipos[Grupo],MATCH(BD33,T_Equipos[NombreEquipo],0)))=1,"-","P."&amp;CX33&amp;" ("&amp;COUNTIFS($CX$6:$CX$53,CX33,$BC$6:$BC$53,INDEX(T_Equipos[Grupo],MATCH(BD33,T_Equipos[NombreEquipo],0)))&amp;")")</f>
        <v>P.3 (2)</v>
      </c>
      <c r="CZ33" s="9">
        <f t="shared" si="45"/>
        <v>1</v>
      </c>
      <c r="DA33" s="9">
        <f>CX33+COUNTIFS($CY$6:$CY$53,CY33,$CZ$6:CZ$53,"&gt;"&amp;CZ33,$BC$6:$BC$53,INDEX(T_Equipos[Grupo],MATCH(BD33,T_Equipos[NombreEquipo],0)))</f>
        <v>3</v>
      </c>
      <c r="DB33" s="9" t="str">
        <f>IF(COUNTIFS($DA$6:$DA$53,DA33,$BC$6:$BC$53,INDEX(T_Equipos[Grupo],MATCH(BD33,T_Equipos[NombreEquipo],0)))=1,"-","P."&amp;DA33&amp;" ("&amp;COUNTIFS($DA$6:$DA$53,DA33,$BC$6:$BC$53,INDEX(T_Equipos[Grupo],MATCH(BD33,T_Equipos[NombreEquipo],0)))&amp;")")</f>
        <v>P.3 (2)</v>
      </c>
      <c r="DC33" s="9">
        <f>IF(DB33="-","-",COUNTIFS(T_Equipos[Rank],"&lt;"&amp;INDEX(T_Equipos[Rank],MATCH(BD33,T_Equipos[NombreEquipo],0)),$BC$6:$BC$53,INDEX(T_Equipos[Grupo],MATCH(BD33,T_Equipos[NombreEquipo],0)))+1)</f>
        <v>4</v>
      </c>
      <c r="DD33" s="9">
        <f>DA33+COUNTIFS($DB$6:$DB$53,DB33,$DC$6:DC$53,"&lt;"&amp;DC33,$BC$6:$BC$53,INDEX(T_Equipos[Grupo],MATCH(BD33,T_Equipos[NombreEquipo],0)))</f>
        <v>4</v>
      </c>
      <c r="DE33" s="9"/>
      <c r="DF33" s="9">
        <f t="shared" si="46"/>
        <v>2.004</v>
      </c>
      <c r="DG33" s="9">
        <f>IF(DB33="-","-",COUNTIFS(DF$6:DF$53,"&lt;"&amp;DF33,$BC$6:$BC$53,INDEX(T_Equipos[Grupo],MATCH(BD33,T_Equipos[NombreEquipo],0))))</f>
        <v>3</v>
      </c>
      <c r="DH33" s="9">
        <f>DA33+COUNTIFS(DB$6:DB$53,DB33,DG$6:DG$53,"&lt;"&amp;DG33,$BC$6:$BC$53,INDEX(T_Equipos[Grupo],MATCH(BD33,T_Equipos[NombreEquipo],0)))</f>
        <v>4</v>
      </c>
      <c r="DI33" s="9"/>
      <c r="DJ33" s="9">
        <f t="shared" si="47"/>
        <v>3</v>
      </c>
      <c r="DK33" s="9">
        <f t="shared" si="48"/>
        <v>12</v>
      </c>
      <c r="DL33" s="9">
        <f t="shared" si="49"/>
        <v>2</v>
      </c>
      <c r="DM33" s="9" t="str">
        <f t="shared" si="50"/>
        <v>3.2</v>
      </c>
      <c r="DN33" s="9">
        <f t="array" aca="1" ref="DN33" ca="1">OFFSET(Horarios!$P$3,DJ33-1,0,DL33,1)</f>
        <v>3</v>
      </c>
      <c r="DO33" s="9"/>
      <c r="DP33" s="9" t="s">
        <v>104</v>
      </c>
      <c r="DQ33" s="9" t="str">
        <f t="shared" si="51"/>
        <v>New Zealand</v>
      </c>
    </row>
    <row r="34" spans="1:121" ht="16.149999999999999" customHeight="1" thickBot="1">
      <c r="V34" s="379"/>
      <c r="W34" s="454"/>
      <c r="X34" s="455"/>
      <c r="Y34" s="454"/>
      <c r="Z34" s="456"/>
      <c r="AA34" s="457"/>
      <c r="AB34" s="458"/>
      <c r="AC34" s="459"/>
      <c r="AD34" s="459"/>
      <c r="AE34" s="458"/>
      <c r="AF34" s="460"/>
      <c r="AG34" s="484"/>
      <c r="AH34" s="405"/>
      <c r="AI34" s="374"/>
      <c r="AJ34" s="461"/>
      <c r="AK34" s="462"/>
      <c r="AL34" s="395"/>
      <c r="AM34" s="463"/>
      <c r="AN34" s="461"/>
      <c r="AO34" s="461"/>
      <c r="AP34" s="461"/>
      <c r="AQ34" s="461"/>
      <c r="AR34" s="461"/>
      <c r="AS34" s="461"/>
      <c r="AT34" s="461"/>
      <c r="AU34" s="425"/>
      <c r="AV34" s="464"/>
      <c r="AW34" s="427"/>
      <c r="AX34" s="428"/>
      <c r="AY34" s="454"/>
      <c r="AZ34" s="455"/>
      <c r="BA34" s="378"/>
      <c r="BC34" s="9" t="str">
        <f>+INDEX(T_Equipos[Grupo],MATCH(WORLDCUP!BD34,T_Equipos[NombreEquipo],0))</f>
        <v>H</v>
      </c>
      <c r="BD34" s="9" t="str">
        <f>+Equipos!B30</f>
        <v>Spain</v>
      </c>
      <c r="BE34" s="9">
        <f t="shared" si="16"/>
        <v>9</v>
      </c>
      <c r="BF34" s="9">
        <f t="shared" si="17"/>
        <v>3</v>
      </c>
      <c r="BG34" s="9">
        <f t="shared" si="18"/>
        <v>3</v>
      </c>
      <c r="BH34" s="9">
        <f t="shared" si="19"/>
        <v>0</v>
      </c>
      <c r="BI34" s="9">
        <f t="shared" si="20"/>
        <v>0</v>
      </c>
      <c r="BJ34" s="9">
        <f t="shared" si="21"/>
        <v>9</v>
      </c>
      <c r="BK34" s="9">
        <f t="shared" si="22"/>
        <v>1</v>
      </c>
      <c r="BL34" s="9">
        <f t="shared" si="23"/>
        <v>8</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9</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79"/>
      <c r="W35" s="388"/>
      <c r="X35" s="389" t="str">
        <f>X19</f>
        <v>Date</v>
      </c>
      <c r="Y35" s="389" t="str">
        <f>Y19</f>
        <v>Hour</v>
      </c>
      <c r="Z35" s="390" t="str">
        <f>Z19</f>
        <v>R</v>
      </c>
      <c r="AA35" s="391" t="str">
        <f>AA19</f>
        <v>Home</v>
      </c>
      <c r="AB35" s="392"/>
      <c r="AC35" s="390" t="str">
        <f>AC3</f>
        <v>Goals</v>
      </c>
      <c r="AD35" s="390" t="str">
        <f>AD3</f>
        <v>Goals</v>
      </c>
      <c r="AE35" s="392"/>
      <c r="AF35" s="393" t="str">
        <f>AF19</f>
        <v>Away</v>
      </c>
      <c r="AG35" s="465"/>
      <c r="AH35" s="405"/>
      <c r="AI35" s="382"/>
      <c r="AJ35" s="395"/>
      <c r="AK35" s="466"/>
      <c r="AL35" s="395"/>
      <c r="AM35" s="395"/>
      <c r="AN35" s="395"/>
      <c r="AO35" s="395"/>
      <c r="AP35" s="395"/>
      <c r="AQ35" s="395"/>
      <c r="AR35" s="395"/>
      <c r="AS35" s="395"/>
      <c r="AT35" s="395"/>
      <c r="AU35" s="467"/>
      <c r="AV35" s="384"/>
      <c r="AW35" s="468"/>
      <c r="AX35" s="469"/>
      <c r="AY35" s="454"/>
      <c r="AZ35" s="455"/>
      <c r="BA35" s="378"/>
      <c r="BC35" s="9" t="str">
        <f>+INDEX(T_Equipos[Grupo],MATCH(WORLDCUP!BD35,T_Equipos[NombreEquipo],0))</f>
        <v>H</v>
      </c>
      <c r="BD35" s="9" t="str">
        <f>+Equipos!B31</f>
        <v>Cape Verde</v>
      </c>
      <c r="BE35" s="9">
        <f t="shared" si="16"/>
        <v>1</v>
      </c>
      <c r="BF35" s="9">
        <f t="shared" si="17"/>
        <v>3</v>
      </c>
      <c r="BG35" s="9">
        <f t="shared" si="18"/>
        <v>0</v>
      </c>
      <c r="BH35" s="9">
        <f t="shared" si="19"/>
        <v>1</v>
      </c>
      <c r="BI35" s="9">
        <f t="shared" si="20"/>
        <v>2</v>
      </c>
      <c r="BJ35" s="9">
        <f t="shared" si="21"/>
        <v>0</v>
      </c>
      <c r="BK35" s="9">
        <f t="shared" si="22"/>
        <v>5</v>
      </c>
      <c r="BL35" s="9">
        <f t="shared" si="23"/>
        <v>-5</v>
      </c>
      <c r="BM35" s="9" t="str">
        <f t="shared" si="24"/>
        <v>4H</v>
      </c>
      <c r="BN35" s="9" t="str">
        <f t="shared" si="25"/>
        <v>4H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1</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P.3 (2)</v>
      </c>
      <c r="BU35" s="9">
        <f t="shared" si="28"/>
        <v>0</v>
      </c>
      <c r="BV35" s="9">
        <f t="shared" si="29"/>
        <v>1</v>
      </c>
      <c r="BW35" s="9">
        <f t="shared" si="30"/>
        <v>0</v>
      </c>
      <c r="BX35" s="9">
        <f t="shared" si="31"/>
        <v>1</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P.3 (2)</v>
      </c>
      <c r="CA35" s="9">
        <f t="shared" si="32"/>
        <v>0</v>
      </c>
      <c r="CB35" s="9">
        <f t="shared" si="33"/>
        <v>0</v>
      </c>
      <c r="CC35" s="9">
        <f t="shared" si="34"/>
        <v>0</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P.3 (2)</v>
      </c>
      <c r="CF35" s="9">
        <f t="shared" si="35"/>
        <v>0</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P.3 (2)</v>
      </c>
      <c r="CI35" s="9">
        <f t="shared" si="36"/>
        <v>0</v>
      </c>
      <c r="CJ35" s="9">
        <f t="shared" si="37"/>
        <v>1</v>
      </c>
      <c r="CK35" s="9">
        <f t="shared" si="38"/>
        <v>0</v>
      </c>
      <c r="CL35" s="9">
        <f t="shared" si="39"/>
        <v>1</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P.3 (2)</v>
      </c>
      <c r="CO35" s="9">
        <f t="shared" si="40"/>
        <v>0</v>
      </c>
      <c r="CP35" s="9">
        <f t="shared" si="41"/>
        <v>0</v>
      </c>
      <c r="CQ35" s="9">
        <f t="shared" si="42"/>
        <v>0</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P.3 (2)</v>
      </c>
      <c r="CT35" s="9">
        <f t="shared" si="43"/>
        <v>0</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P.3 (2)</v>
      </c>
      <c r="CW35" s="9">
        <f t="shared" si="44"/>
        <v>-5</v>
      </c>
      <c r="CX35" s="9">
        <f>CU35+COUNTIFS($CV$6:$CV$53,CV35,$CW$6:CW$53,"&gt;"&amp;CW35,$BC$6:$BC$53,INDEX(T_Equipos[Grupo],MATCH(BD35,T_Equipos[NombreEquipo],0)))</f>
        <v>4</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4</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4</v>
      </c>
      <c r="DE35" s="9"/>
      <c r="DF35" s="9">
        <f t="shared" si="46"/>
        <v>4</v>
      </c>
      <c r="DG35" s="9" t="str">
        <f>IF(DB35="-","-",COUNTIFS(DF$6:DF$53,"&lt;"&amp;DF35,$BC$6:$BC$53,INDEX(T_Equipos[Grupo],MATCH(BD35,T_Equipos[NombreEquipo],0))))</f>
        <v>-</v>
      </c>
      <c r="DH35" s="9">
        <f>DA35+COUNTIFS(DB$6:DB$53,DB35,DG$6:DG$53,"&lt;"&amp;DG35,$BC$6:$BC$53,INDEX(T_Equipos[Grupo],MATCH(BD35,T_Equipos[NombreEquipo],0)))</f>
        <v>4</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P.3 (2)</v>
      </c>
      <c r="H36" s="8" t="str">
        <f t="shared" ref="H36:H41" si="103">IF(D36="Pendiente","-",INDEX($BZ$6:$BZ$53,MATCH($AA36,$BD$6:$BD$53,0)))</f>
        <v>-</v>
      </c>
      <c r="I36" s="8" t="str">
        <f t="shared" ref="I36:I41" si="104">IF(D36="Pendiente","-",INDEX($BZ$6:$BZ$53,MATCH($AF36,$BD$6:$BD$53,0)))</f>
        <v>P.3 (2)</v>
      </c>
      <c r="K36" s="8" t="str">
        <f t="shared" ref="K36:K41" si="105">IF(D36="Pendiente","-",INDEX($CE$6:$CE$53,MATCH($AA36,$BD$6:$BD$53,0)))</f>
        <v>-</v>
      </c>
      <c r="L36" s="8" t="str">
        <f t="shared" ref="L36:L41" si="106">IF(D36="Pendiente","-",INDEX($CE$6:$CE$53,MATCH($AF36,$BD$6:$BD$53,0)))</f>
        <v>P.3 (2)</v>
      </c>
      <c r="N36" s="8" t="str">
        <f t="shared" ref="N36:N41" si="107">IF(D36="Pendiente","-",INDEX($CH$6:$CH$53,MATCH($AA36,$BD$6:$BD$53,0)))</f>
        <v>-</v>
      </c>
      <c r="O36" s="8" t="str">
        <f t="shared" ref="O36:O41" si="108">IF(D36="Pendiente","-",INDEX($CH$6:$CH$53,MATCH($AF36,$BD$6:$BD$53,0)))</f>
        <v>P.3 (2)</v>
      </c>
      <c r="Q36" s="8" t="str">
        <f t="shared" ref="Q36:Q41" si="109">IF(D36="Pendiente","-",INDEX($CN$6:$CN$53,MATCH($AA36,$BD$6:$BD$53,0)))</f>
        <v>-</v>
      </c>
      <c r="R36" s="8" t="str">
        <f t="shared" ref="R36:R41" si="110">IF(D36="Pendiente","-",INDEX($CN$6:$CN$53,MATCH($AF36,$BD$6:$BD$53,0)))</f>
        <v>P.3 (2)</v>
      </c>
      <c r="T36" s="8" t="str">
        <f t="shared" ref="T36:T41" si="111">IF(D36="Pendiente","-",INDEX($CS$6:$CS$53,MATCH($AA36,$BD$6:$BD$53,0)))</f>
        <v>-</v>
      </c>
      <c r="U36" s="8" t="str">
        <f t="shared" ref="U36:U41" si="112">IF(D36="Pendiente","-",INDEX($CS$6:$CS$53,MATCH($AF36,$BD$6:$BD$53,0)))</f>
        <v>P.3 (2)</v>
      </c>
      <c r="V36" s="379"/>
      <c r="W36" s="630" t="s">
        <v>107</v>
      </c>
      <c r="X36" s="397">
        <f>Horarios!C36</f>
        <v>46187.541666666657</v>
      </c>
      <c r="Y36" s="398">
        <f>Horarios!C36</f>
        <v>46187.541666666657</v>
      </c>
      <c r="Z36" s="399" t="str">
        <f>$Z$4</f>
        <v>R1</v>
      </c>
      <c r="AA36" s="400" t="str">
        <f>A37</f>
        <v>Germany</v>
      </c>
      <c r="AB36" s="401" t="str">
        <f t="array" aca="1" ref="AB36" ca="1">Ver_flag_local</f>
        <v/>
      </c>
      <c r="AC36" s="15">
        <v>2</v>
      </c>
      <c r="AD36" s="16">
        <v>0</v>
      </c>
      <c r="AE36" s="402" t="str">
        <f t="array" aca="1" ref="AE36" ca="1">Ver_flag_visit</f>
        <v/>
      </c>
      <c r="AF36" s="403" t="str">
        <f>A38</f>
        <v>Curaçao</v>
      </c>
      <c r="AG36" s="404">
        <f t="shared" ref="AG36:AG41" si="113">IF(NOT(OR(ISBLANK(AC36),ISBLANK(AD36))),1,0)</f>
        <v>1</v>
      </c>
      <c r="AH36" s="405">
        <v>10</v>
      </c>
      <c r="AI36" s="406"/>
      <c r="AJ36" s="407" t="str">
        <f>CONCATENATE(AJ3," ",B36)</f>
        <v>Group E</v>
      </c>
      <c r="AK36" s="408"/>
      <c r="AL36" s="408"/>
      <c r="AM36" s="408"/>
      <c r="AN36" s="408"/>
      <c r="AO36" s="408"/>
      <c r="AP36" s="408"/>
      <c r="AQ36" s="408"/>
      <c r="AR36" s="408"/>
      <c r="AS36" s="408"/>
      <c r="AT36" s="409"/>
      <c r="AU36" s="467"/>
      <c r="AV36" s="410" t="str">
        <f>IF(AU37&gt;0,$AV$3,"")</f>
        <v>IT'S A TIE! Choose the order of the countries to determine their rankings.</v>
      </c>
      <c r="AW36" s="471"/>
      <c r="AX36" s="471"/>
      <c r="AY36" s="454"/>
      <c r="AZ36" s="455"/>
      <c r="BA36" s="378"/>
      <c r="BC36" s="9" t="str">
        <f>+INDEX(T_Equipos[Grupo],MATCH(WORLDCUP!BD36,T_Equipos[NombreEquipo],0))</f>
        <v>H</v>
      </c>
      <c r="BD36" s="9" t="str">
        <f>+Equipos!B32</f>
        <v>Saudi Arabia</v>
      </c>
      <c r="BE36" s="9">
        <f t="shared" si="16"/>
        <v>1</v>
      </c>
      <c r="BF36" s="9">
        <f t="shared" si="17"/>
        <v>3</v>
      </c>
      <c r="BG36" s="9">
        <f t="shared" si="18"/>
        <v>0</v>
      </c>
      <c r="BH36" s="9">
        <f t="shared" si="19"/>
        <v>1</v>
      </c>
      <c r="BI36" s="9">
        <f t="shared" si="20"/>
        <v>2</v>
      </c>
      <c r="BJ36" s="9">
        <f t="shared" si="21"/>
        <v>1</v>
      </c>
      <c r="BK36" s="9">
        <f t="shared" si="22"/>
        <v>5</v>
      </c>
      <c r="BL36" s="9">
        <f t="shared" si="23"/>
        <v>-4</v>
      </c>
      <c r="BM36" s="9" t="str">
        <f t="shared" si="24"/>
        <v>3H</v>
      </c>
      <c r="BN36" s="9" t="str">
        <f t="shared" si="25"/>
        <v>3H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1</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P.3 (2)</v>
      </c>
      <c r="BU36" s="9">
        <f t="shared" si="28"/>
        <v>0</v>
      </c>
      <c r="BV36" s="9">
        <f t="shared" si="29"/>
        <v>1</v>
      </c>
      <c r="BW36" s="9">
        <f t="shared" si="30"/>
        <v>0</v>
      </c>
      <c r="BX36" s="9">
        <f t="shared" si="31"/>
        <v>1</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P.3 (2)</v>
      </c>
      <c r="CA36" s="9">
        <f t="shared" si="32"/>
        <v>0</v>
      </c>
      <c r="CB36" s="9">
        <f t="shared" si="33"/>
        <v>0</v>
      </c>
      <c r="CC36" s="9">
        <f t="shared" si="34"/>
        <v>0</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P.3 (2)</v>
      </c>
      <c r="CF36" s="9">
        <f t="shared" si="35"/>
        <v>0</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P.3 (2)</v>
      </c>
      <c r="CI36" s="9">
        <f t="shared" si="36"/>
        <v>0</v>
      </c>
      <c r="CJ36" s="9">
        <f t="shared" si="37"/>
        <v>1</v>
      </c>
      <c r="CK36" s="9">
        <f t="shared" si="38"/>
        <v>0</v>
      </c>
      <c r="CL36" s="9">
        <f t="shared" si="39"/>
        <v>1</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P.3 (2)</v>
      </c>
      <c r="CO36" s="9">
        <f t="shared" si="40"/>
        <v>0</v>
      </c>
      <c r="CP36" s="9">
        <f t="shared" si="41"/>
        <v>0</v>
      </c>
      <c r="CQ36" s="9">
        <f t="shared" si="42"/>
        <v>0</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P.3 (2)</v>
      </c>
      <c r="CT36" s="9">
        <f t="shared" si="43"/>
        <v>0</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P.3 (2)</v>
      </c>
      <c r="CW36" s="9">
        <f t="shared" si="44"/>
        <v>-4</v>
      </c>
      <c r="CX36" s="9">
        <f>CU36+COUNTIFS($CV$6:$CV$53,CV36,$CW$6:CW$53,"&gt;"&amp;CW36,$BC$6:$BC$53,INDEX(T_Equipos[Grupo],MATCH(BD36,T_Equipos[NombreEquipo],0)))</f>
        <v>3</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3</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3</v>
      </c>
      <c r="DE36" s="9"/>
      <c r="DF36" s="9">
        <f t="shared" si="46"/>
        <v>3</v>
      </c>
      <c r="DG36" s="9" t="str">
        <f>IF(DB36="-","-",COUNTIFS(DF$6:DF$53,"&lt;"&amp;DF36,$BC$6:$BC$53,INDEX(T_Equipos[Grupo],MATCH(BD36,T_Equipos[NombreEquipo],0))))</f>
        <v>-</v>
      </c>
      <c r="DH36" s="9">
        <f>DA36+COUNTIFS(DB$6:DB$53,DB36,DG$6:DG$53,"&lt;"&amp;DG36,$BC$6:$BC$53,INDEX(T_Equipos[Grupo],MATCH(BD36,T_Equipos[NombreEquipo],0)))</f>
        <v>3</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Saudi Arabia</v>
      </c>
    </row>
    <row r="37" spans="1:121" ht="16.149999999999999" customHeight="1">
      <c r="A37" s="8" t="str">
        <f>+Equipos!B18</f>
        <v>Germany</v>
      </c>
      <c r="D37" s="8" t="str">
        <f t="shared" si="100"/>
        <v>Visitante</v>
      </c>
      <c r="E37" s="8" t="str">
        <f t="shared" si="101"/>
        <v>P.3 (2)</v>
      </c>
      <c r="F37" s="8" t="str">
        <f t="shared" si="102"/>
        <v>-</v>
      </c>
      <c r="H37" s="8" t="str">
        <f t="shared" si="103"/>
        <v>P.3 (2)</v>
      </c>
      <c r="I37" s="8" t="str">
        <f t="shared" si="104"/>
        <v>-</v>
      </c>
      <c r="K37" s="8" t="str">
        <f t="shared" si="105"/>
        <v>P.3 (2)</v>
      </c>
      <c r="L37" s="8" t="str">
        <f t="shared" si="106"/>
        <v>-</v>
      </c>
      <c r="N37" s="8" t="str">
        <f t="shared" si="107"/>
        <v>P.3 (2)</v>
      </c>
      <c r="O37" s="8" t="str">
        <f t="shared" si="108"/>
        <v>-</v>
      </c>
      <c r="Q37" s="8" t="str">
        <f t="shared" si="109"/>
        <v>P.3 (2)</v>
      </c>
      <c r="R37" s="8" t="str">
        <f t="shared" si="110"/>
        <v>-</v>
      </c>
      <c r="T37" s="8" t="str">
        <f t="shared" si="111"/>
        <v>P.3 (2)</v>
      </c>
      <c r="U37" s="8" t="str">
        <f t="shared" si="112"/>
        <v>-</v>
      </c>
      <c r="V37" s="379"/>
      <c r="W37" s="607"/>
      <c r="X37" s="397">
        <f>Horarios!C37</f>
        <v>46187.791666666657</v>
      </c>
      <c r="Y37" s="398">
        <f>Horarios!C37</f>
        <v>46187.791666666657</v>
      </c>
      <c r="Z37" s="399" t="str">
        <f>$Z$4</f>
        <v>R1</v>
      </c>
      <c r="AA37" s="400" t="str">
        <f>A39</f>
        <v>Ivory Coast</v>
      </c>
      <c r="AB37" s="401" t="str">
        <f t="array" aca="1" ref="AB37" ca="1">Ver_flag_local</f>
        <v/>
      </c>
      <c r="AC37" s="15">
        <v>0</v>
      </c>
      <c r="AD37" s="16">
        <v>1</v>
      </c>
      <c r="AE37" s="402" t="str">
        <f t="array" aca="1" ref="AE37" ca="1">Ver_flag_visit</f>
        <v/>
      </c>
      <c r="AF37" s="403" t="str">
        <f>A40</f>
        <v>Ecuador</v>
      </c>
      <c r="AG37" s="404">
        <f t="shared" si="113"/>
        <v>1</v>
      </c>
      <c r="AH37" s="405">
        <v>9</v>
      </c>
      <c r="AI37" s="406"/>
      <c r="AJ37" s="412" t="str">
        <f>AJ5</f>
        <v>Pos</v>
      </c>
      <c r="AK37" s="413"/>
      <c r="AL37" s="414" t="str">
        <f t="shared" ref="AL37:AT37" si="114">AL5</f>
        <v>Nation</v>
      </c>
      <c r="AM37" s="413" t="str">
        <f t="shared" si="114"/>
        <v>Pts</v>
      </c>
      <c r="AN37" s="413" t="str">
        <f t="shared" si="114"/>
        <v>P</v>
      </c>
      <c r="AO37" s="413" t="str">
        <f t="shared" si="114"/>
        <v>W</v>
      </c>
      <c r="AP37" s="413" t="str">
        <f t="shared" si="114"/>
        <v>D</v>
      </c>
      <c r="AQ37" s="413" t="str">
        <f t="shared" si="114"/>
        <v>L</v>
      </c>
      <c r="AR37" s="413" t="str">
        <f t="shared" si="114"/>
        <v>F</v>
      </c>
      <c r="AS37" s="413" t="str">
        <f t="shared" si="114"/>
        <v>A</v>
      </c>
      <c r="AT37" s="415" t="str">
        <f t="shared" si="114"/>
        <v>GD</v>
      </c>
      <c r="AU37" s="467">
        <f>COUNTIF(AU38:AU41,"&gt;1")</f>
        <v>2</v>
      </c>
      <c r="AV37" s="416"/>
      <c r="AW37" s="471"/>
      <c r="AX37" s="471"/>
      <c r="AY37" s="417" t="str">
        <f>AL37</f>
        <v>Nation</v>
      </c>
      <c r="AZ37" s="418" t="str">
        <f>+Idiomas!$D$67</f>
        <v>Deducted Points</v>
      </c>
      <c r="BA37" s="378"/>
      <c r="BC37" s="9" t="str">
        <f>+INDEX(T_Equipos[Grupo],MATCH(WORLDCUP!BD37,T_Equipos[NombreEquipo],0))</f>
        <v>H</v>
      </c>
      <c r="BD37" s="9" t="str">
        <f>+Equipos!B33</f>
        <v>Uruguay</v>
      </c>
      <c r="BE37" s="9">
        <f t="shared" si="16"/>
        <v>6</v>
      </c>
      <c r="BF37" s="9">
        <f t="shared" si="17"/>
        <v>3</v>
      </c>
      <c r="BG37" s="9">
        <f t="shared" si="18"/>
        <v>2</v>
      </c>
      <c r="BH37" s="9">
        <f t="shared" si="19"/>
        <v>0</v>
      </c>
      <c r="BI37" s="9">
        <f t="shared" si="20"/>
        <v>1</v>
      </c>
      <c r="BJ37" s="9">
        <f t="shared" si="21"/>
        <v>5</v>
      </c>
      <c r="BK37" s="9">
        <f t="shared" si="22"/>
        <v>4</v>
      </c>
      <c r="BL37" s="9">
        <f t="shared" si="23"/>
        <v>1</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6</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Cape Verde</v>
      </c>
    </row>
    <row r="38" spans="1:121" ht="16.149999999999999" customHeight="1">
      <c r="A38" s="8" t="str">
        <f>+Equipos!B19</f>
        <v>Curaçao</v>
      </c>
      <c r="D38" s="8" t="str">
        <f t="shared" si="100"/>
        <v>Local</v>
      </c>
      <c r="E38" s="8" t="str">
        <f t="shared" si="101"/>
        <v>-</v>
      </c>
      <c r="F38" s="8" t="str">
        <f t="shared" si="102"/>
        <v>P.3 (2)</v>
      </c>
      <c r="H38" s="8" t="str">
        <f t="shared" si="103"/>
        <v>-</v>
      </c>
      <c r="I38" s="8" t="str">
        <f t="shared" si="104"/>
        <v>P.3 (2)</v>
      </c>
      <c r="K38" s="8" t="str">
        <f t="shared" si="105"/>
        <v>-</v>
      </c>
      <c r="L38" s="8" t="str">
        <f t="shared" si="106"/>
        <v>P.3 (2)</v>
      </c>
      <c r="N38" s="8" t="str">
        <f t="shared" si="107"/>
        <v>-</v>
      </c>
      <c r="O38" s="8" t="str">
        <f t="shared" si="108"/>
        <v>P.3 (2)</v>
      </c>
      <c r="Q38" s="8" t="str">
        <f t="shared" si="109"/>
        <v>-</v>
      </c>
      <c r="R38" s="8" t="str">
        <f t="shared" si="110"/>
        <v>P.3 (2)</v>
      </c>
      <c r="T38" s="8" t="str">
        <f t="shared" si="111"/>
        <v>-</v>
      </c>
      <c r="U38" s="8" t="str">
        <f t="shared" si="112"/>
        <v>P.3 (2)</v>
      </c>
      <c r="V38" s="379"/>
      <c r="W38" s="607"/>
      <c r="X38" s="397">
        <f>Horarios!C38</f>
        <v>46193.666666666657</v>
      </c>
      <c r="Y38" s="398">
        <f>Horarios!C38</f>
        <v>46193.666666666657</v>
      </c>
      <c r="Z38" s="399" t="str">
        <f>$Z$6</f>
        <v>R2</v>
      </c>
      <c r="AA38" s="400" t="str">
        <f>A37</f>
        <v>Germany</v>
      </c>
      <c r="AB38" s="401" t="str">
        <f t="array" aca="1" ref="AB38" ca="1">Ver_flag_local</f>
        <v/>
      </c>
      <c r="AC38" s="15">
        <v>2</v>
      </c>
      <c r="AD38" s="16">
        <v>0</v>
      </c>
      <c r="AE38" s="402" t="str">
        <f t="array" aca="1" ref="AE38" ca="1">Ver_flag_visit</f>
        <v/>
      </c>
      <c r="AF38" s="403" t="str">
        <f>A39</f>
        <v>Ivory Coast</v>
      </c>
      <c r="AG38" s="404">
        <f t="shared" si="113"/>
        <v>1</v>
      </c>
      <c r="AH38" s="405">
        <v>33</v>
      </c>
      <c r="AI38" s="406" t="str">
        <f>AJ38&amp;$B$36</f>
        <v>1E</v>
      </c>
      <c r="AJ38" s="419">
        <v>1</v>
      </c>
      <c r="AK38" s="473" t="str">
        <f t="array" aca="1" ref="AK38" ca="1">Ver_flag_visit</f>
        <v/>
      </c>
      <c r="AL38" s="421" t="str">
        <f>IFERROR(INDEX($BD$6:$BD$53,MATCH(AI38,$BN$6:$BN$53,0)),"")</f>
        <v>Germany</v>
      </c>
      <c r="AM38" s="422">
        <f t="shared" ref="AM38:AT41" si="115">INDEX($BE$6:$BN$53,MATCH($AL38,$BD$6:$BD$53,0),MATCH(AM$5,$BE$5:$BN$5,0))</f>
        <v>9</v>
      </c>
      <c r="AN38" s="423">
        <f t="shared" si="115"/>
        <v>3</v>
      </c>
      <c r="AO38" s="423">
        <f t="shared" si="115"/>
        <v>3</v>
      </c>
      <c r="AP38" s="423">
        <f t="shared" si="115"/>
        <v>0</v>
      </c>
      <c r="AQ38" s="423">
        <f t="shared" si="115"/>
        <v>0</v>
      </c>
      <c r="AR38" s="423">
        <f t="shared" si="115"/>
        <v>6</v>
      </c>
      <c r="AS38" s="423">
        <f t="shared" si="115"/>
        <v>0</v>
      </c>
      <c r="AT38" s="424">
        <f t="shared" si="115"/>
        <v>6</v>
      </c>
      <c r="AU38" s="425">
        <f>INDEX($DL$6:$DL$53,MATCH(AI38,$DP$6:$DP$53,0))</f>
        <v>1</v>
      </c>
      <c r="AV38" s="426" t="str">
        <f>INDEX($BD$6:$BD$53,MATCH(AI38,$BM$6:$BM$53,0))</f>
        <v>Germany</v>
      </c>
      <c r="AW38" s="579"/>
      <c r="AX38" s="428"/>
      <c r="AY38" s="429" t="str">
        <f>+A37</f>
        <v>Germany</v>
      </c>
      <c r="AZ38" s="430"/>
      <c r="BA38" s="378"/>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9</v>
      </c>
      <c r="BK38" s="9">
        <f t="shared" si="22"/>
        <v>1</v>
      </c>
      <c r="BL38" s="9">
        <f t="shared" si="23"/>
        <v>8</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v>
      </c>
      <c r="F39" s="8" t="str">
        <f t="shared" si="102"/>
        <v>P.3 (2)</v>
      </c>
      <c r="H39" s="8" t="str">
        <f t="shared" si="103"/>
        <v>-</v>
      </c>
      <c r="I39" s="8" t="str">
        <f t="shared" si="104"/>
        <v>P.3 (2)</v>
      </c>
      <c r="K39" s="8" t="str">
        <f t="shared" si="105"/>
        <v>-</v>
      </c>
      <c r="L39" s="8" t="str">
        <f t="shared" si="106"/>
        <v>P.3 (2)</v>
      </c>
      <c r="N39" s="8" t="str">
        <f t="shared" si="107"/>
        <v>-</v>
      </c>
      <c r="O39" s="8" t="str">
        <f t="shared" si="108"/>
        <v>P.3 (2)</v>
      </c>
      <c r="Q39" s="8" t="str">
        <f t="shared" si="109"/>
        <v>-</v>
      </c>
      <c r="R39" s="8" t="str">
        <f t="shared" si="110"/>
        <v>P.3 (2)</v>
      </c>
      <c r="T39" s="8" t="str">
        <f t="shared" si="111"/>
        <v>-</v>
      </c>
      <c r="U39" s="8" t="str">
        <f t="shared" si="112"/>
        <v>P.3 (2)</v>
      </c>
      <c r="V39" s="379"/>
      <c r="W39" s="607"/>
      <c r="X39" s="397">
        <f>Horarios!C39</f>
        <v>46193.833333333343</v>
      </c>
      <c r="Y39" s="398">
        <f>Horarios!C39</f>
        <v>46193.833333333343</v>
      </c>
      <c r="Z39" s="399" t="str">
        <f>$Z$6</f>
        <v>R2</v>
      </c>
      <c r="AA39" s="400" t="str">
        <f>A40</f>
        <v>Ecuador</v>
      </c>
      <c r="AB39" s="401" t="str">
        <f t="array" aca="1" ref="AB39" ca="1">Ver_flag_local</f>
        <v/>
      </c>
      <c r="AC39" s="15">
        <v>1</v>
      </c>
      <c r="AD39" s="16">
        <v>0</v>
      </c>
      <c r="AE39" s="402" t="str">
        <f t="array" aca="1" ref="AE39" ca="1">Ver_flag_visit</f>
        <v/>
      </c>
      <c r="AF39" s="403" t="str">
        <f>A38</f>
        <v>Curaçao</v>
      </c>
      <c r="AG39" s="404">
        <f t="shared" si="113"/>
        <v>1</v>
      </c>
      <c r="AH39" s="405">
        <v>34</v>
      </c>
      <c r="AI39" s="406" t="str">
        <f>AJ39&amp;$B$36</f>
        <v>2E</v>
      </c>
      <c r="AJ39" s="431">
        <v>2</v>
      </c>
      <c r="AK39" s="476" t="str">
        <f t="array" aca="1" ref="AK39" ca="1">Ver_flag_visit</f>
        <v/>
      </c>
      <c r="AL39" s="433" t="str">
        <f>IFERROR(INDEX($BD$6:$BD$53,MATCH(AI39,$BN$6:$BN$53,0)),"")</f>
        <v>Ecuador</v>
      </c>
      <c r="AM39" s="434">
        <f t="shared" si="115"/>
        <v>6</v>
      </c>
      <c r="AN39" s="435">
        <f t="shared" si="115"/>
        <v>3</v>
      </c>
      <c r="AO39" s="435">
        <f t="shared" si="115"/>
        <v>2</v>
      </c>
      <c r="AP39" s="435">
        <f t="shared" si="115"/>
        <v>0</v>
      </c>
      <c r="AQ39" s="435">
        <f t="shared" si="115"/>
        <v>1</v>
      </c>
      <c r="AR39" s="435">
        <f t="shared" si="115"/>
        <v>2</v>
      </c>
      <c r="AS39" s="435">
        <f t="shared" si="115"/>
        <v>2</v>
      </c>
      <c r="AT39" s="436">
        <f t="shared" si="115"/>
        <v>0</v>
      </c>
      <c r="AU39" s="425">
        <f>INDEX($DL$6:$DL$53,MATCH(AI39,$DP$6:$DP$53,0))</f>
        <v>1</v>
      </c>
      <c r="AV39" s="426" t="str">
        <f>INDEX($BD$6:$BD$53,MATCH(AI39,$BM$6:$BM$53,0))</f>
        <v>Ecuador</v>
      </c>
      <c r="AW39" s="579"/>
      <c r="AX39" s="428"/>
      <c r="AY39" s="437" t="str">
        <f>+A38</f>
        <v>Curaçao</v>
      </c>
      <c r="AZ39" s="438"/>
      <c r="BA39" s="378"/>
      <c r="BC39" s="9" t="str">
        <f>+INDEX(T_Equipos[Grupo],MATCH(WORLDCUP!BD39,T_Equipos[NombreEquipo],0))</f>
        <v>I</v>
      </c>
      <c r="BD39" s="9" t="str">
        <f>+Equipos!B35</f>
        <v>Senegal</v>
      </c>
      <c r="BE39" s="9">
        <f t="shared" si="16"/>
        <v>3</v>
      </c>
      <c r="BF39" s="9">
        <f t="shared" si="17"/>
        <v>3</v>
      </c>
      <c r="BG39" s="9">
        <f t="shared" si="18"/>
        <v>1</v>
      </c>
      <c r="BH39" s="9">
        <f t="shared" si="19"/>
        <v>0</v>
      </c>
      <c r="BI39" s="9">
        <f t="shared" si="20"/>
        <v>2</v>
      </c>
      <c r="BJ39" s="9">
        <f t="shared" si="21"/>
        <v>1</v>
      </c>
      <c r="BK39" s="9">
        <f t="shared" si="22"/>
        <v>5</v>
      </c>
      <c r="BL39" s="9">
        <f t="shared" si="23"/>
        <v>-4</v>
      </c>
      <c r="BM39" s="9" t="str">
        <f t="shared" si="24"/>
        <v>3I</v>
      </c>
      <c r="BN39" s="9" t="str">
        <f t="shared" si="25"/>
        <v>3I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3</v>
      </c>
      <c r="BS39" s="9">
        <f>BP39+COUNTIFS($BQ$6:$BQ$53,BQ39,$BR$6:BR$53,"&gt;"&amp;BR39,$BC$6:$BC$53,INDEX(T_Equipos[Grupo],MATCH(BD39,T_Equipos[NombreEquipo],0)))</f>
        <v>3</v>
      </c>
      <c r="BT39" s="9" t="str">
        <f>IF(COUNTIFS($BS$6:$BS$53,BS39,$BC$6:$BC$53,INDEX(T_Equipos[Grupo],MATCH(BD39,T_Equipos[NombreEquipo],0)))=1,"-","P."&amp;BS39&amp;" ("&amp;COUNTIFS($BS$6:$BS$53,BS39,$BC$6:$BC$53,INDEX(T_Equipos[Grupo],MATCH(BD39,T_Equipos[NombreEquipo],0)))&amp;")")</f>
        <v>-</v>
      </c>
      <c r="BU39" s="9" t="str">
        <f t="shared" si="28"/>
        <v>-</v>
      </c>
      <c r="BV39" s="9" t="str">
        <f t="shared" si="29"/>
        <v>-</v>
      </c>
      <c r="BW39" s="9" t="str">
        <f t="shared" si="30"/>
        <v>-</v>
      </c>
      <c r="BX39" s="9" t="str">
        <f t="shared" si="31"/>
        <v>-</v>
      </c>
      <c r="BY39" s="9">
        <f>BS39+COUNTIFS($BT$6:$BT$53,BT39,$BX$6:BX$53,"&gt;"&amp;BX39,$BC$6:$BC$53,INDEX(T_Equipos[Grupo],MATCH(BD39,T_Equipos[NombreEquipo],0)))</f>
        <v>3</v>
      </c>
      <c r="BZ39" s="9" t="str">
        <f>IF(COUNTIFS($BY$6:$BY$53,BY39,$BC$6:$BC$53,INDEX(T_Equipos[Grupo],MATCH(BD39,T_Equipos[NombreEquipo],0)))=1,"-","P."&amp;BY39&amp;" ("&amp;COUNTIFS($BY$6:$BY$53,BY39,$BC$6:$BC$53,INDEX(T_Equipos[Grupo],MATCH(BD39,T_Equipos[NombreEquipo],0)))&amp;")")</f>
        <v>-</v>
      </c>
      <c r="CA39" s="9" t="str">
        <f t="shared" si="32"/>
        <v>-</v>
      </c>
      <c r="CB39" s="9" t="str">
        <f t="shared" si="33"/>
        <v>-</v>
      </c>
      <c r="CC39" s="9" t="str">
        <f t="shared" si="34"/>
        <v>-</v>
      </c>
      <c r="CD39" s="9">
        <f>BY39+COUNTIFS($BZ$6:$BZ$53,BZ39,$CC$6:CC$53,"&gt;"&amp;CC39,$BC$6:$BC$53,INDEX(T_Equipos[Grupo],MATCH(BD39,T_Equipos[NombreEquipo],0)))</f>
        <v>3</v>
      </c>
      <c r="CE39" s="9" t="str">
        <f>IF(COUNTIFS($CD$6:$CD$53,CD39,$BC$6:$BC$53,INDEX(T_Equipos[Grupo],MATCH(BD39,T_Equipos[NombreEquipo],0)))=1,"-","P."&amp;CD39&amp;" ("&amp;COUNTIFS($CD$6:$CD$53,CD39,$BC$6:$BC$53,INDEX(T_Equipos[Grupo],MATCH(BD39,T_Equipos[NombreEquipo],0)))&amp;")")</f>
        <v>-</v>
      </c>
      <c r="CF39" s="9" t="str">
        <f t="shared" si="35"/>
        <v>-</v>
      </c>
      <c r="CG39" s="9">
        <f>CD39+COUNTIFS($CE$6:$CE$53,CE39,$CF$6:CF$53,"&gt;"&amp;CF39,$BC$6:$BC$53,INDEX(T_Equipos[Grupo],MATCH(BD39,T_Equipos[NombreEquipo],0)))</f>
        <v>3</v>
      </c>
      <c r="CH39" s="9" t="str">
        <f>IF(COUNTIFS($CG$6:$CG$53,CG39,$BC$6:$BC$53,INDEX(T_Equipos[Grupo],MATCH(BD39,T_Equipos[NombreEquipo],0)))=1,"-","P."&amp;CG39&amp;" ("&amp;COUNTIFS($CG$6:$CG$53,CG39,$BC$6:$BC$53,INDEX(T_Equipos[Grupo],MATCH(BD39,T_Equipos[NombreEquipo],0)))&amp;")")</f>
        <v>-</v>
      </c>
      <c r="CI39" s="9" t="str">
        <f t="shared" si="36"/>
        <v>-</v>
      </c>
      <c r="CJ39" s="9" t="str">
        <f t="shared" si="37"/>
        <v>-</v>
      </c>
      <c r="CK39" s="9" t="str">
        <f t="shared" si="38"/>
        <v>-</v>
      </c>
      <c r="CL39" s="9" t="str">
        <f t="shared" si="39"/>
        <v>-</v>
      </c>
      <c r="CM39" s="9">
        <f>CG39+COUNTIFS($CH$6:$CH$53,CH39,$CL$6:CL$53,"&gt;"&amp;CL39,$BC$6:$BC$53,INDEX(T_Equipos[Grupo],MATCH(BD39,T_Equipos[NombreEquipo],0)))</f>
        <v>3</v>
      </c>
      <c r="CN39" s="9" t="str">
        <f>IF(COUNTIFS($CM$6:$CM$53,CM39,$BC$6:$BC$53,INDEX(T_Equipos[Grupo],MATCH(BD39,T_Equipos[NombreEquipo],0)))=1,"-","P."&amp;CM39&amp;" ("&amp;COUNTIFS($CM$6:$CM$53,CM39,$BC$6:$BC$53,INDEX(T_Equipos[Grupo],MATCH(BD39,T_Equipos[NombreEquipo],0)))&amp;")")</f>
        <v>-</v>
      </c>
      <c r="CO39" s="9" t="str">
        <f t="shared" si="40"/>
        <v>-</v>
      </c>
      <c r="CP39" s="9" t="str">
        <f t="shared" si="41"/>
        <v>-</v>
      </c>
      <c r="CQ39" s="9" t="str">
        <f t="shared" si="42"/>
        <v>-</v>
      </c>
      <c r="CR39" s="9">
        <f>CM39+COUNTIFS($CN$6:$CN$53,CN39,$CQ$6:CQ$53,"&gt;"&amp;CQ39,$BC$6:$BC$53,INDEX(T_Equipos[Grupo],MATCH(BD39,T_Equipos[NombreEquipo],0)))</f>
        <v>3</v>
      </c>
      <c r="CS39" s="9" t="str">
        <f>IF(COUNTIFS($CR$6:$CR$53,CR39,$BC$6:$BC$53,INDEX(T_Equipos[Grupo],MATCH(BD39,T_Equipos[NombreEquipo],0)))=1,"-","P."&amp;CR39&amp;" ("&amp;COUNTIFS($CR$6:$CR$53,CR39,$BC$6:$BC$53,INDEX(T_Equipos[Grupo],MATCH(BD39,T_Equipos[NombreEquipo],0)))&amp;")")</f>
        <v>-</v>
      </c>
      <c r="CT39" s="9" t="str">
        <f t="shared" si="43"/>
        <v>-</v>
      </c>
      <c r="CU39" s="9">
        <f>CR39+COUNTIFS($CS$6:$CS$53,CS39,$CT$6:CT$53,"&gt;"&amp;CT39,$BC$6:$BC$53,INDEX(T_Equipos[Grupo],MATCH(BD39,T_Equipos[NombreEquipo],0)))</f>
        <v>3</v>
      </c>
      <c r="CV39" s="9" t="str">
        <f>IF(COUNTIFS($CU$6:$CU$53,CU39,$BC$6:$BC$53,INDEX(T_Equipos[Grupo],MATCH(BD39,T_Equipos[NombreEquipo],0)))=1,"-","P."&amp;CU39&amp;" ("&amp;COUNTIFS($CU$6:$CU$53,CU39,$BC$6:$BC$53,INDEX(T_Equipos[Grupo],MATCH(BD39,T_Equipos[NombreEquipo],0)))&amp;")")</f>
        <v>-</v>
      </c>
      <c r="CW39" s="9" t="str">
        <f t="shared" si="44"/>
        <v>-</v>
      </c>
      <c r="CX39" s="9">
        <f>CU39+COUNTIFS($CV$6:$CV$53,CV39,$CW$6:CW$53,"&gt;"&amp;CW39,$BC$6:$BC$53,INDEX(T_Equipos[Grupo],MATCH(BD39,T_Equipos[NombreEquipo],0)))</f>
        <v>3</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3</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3</v>
      </c>
      <c r="DE39" s="9"/>
      <c r="DF39" s="9">
        <f t="shared" si="46"/>
        <v>3</v>
      </c>
      <c r="DG39" s="9" t="str">
        <f>IF(DB39="-","-",COUNTIFS(DF$6:DF$53,"&lt;"&amp;DF39,$BC$6:$BC$53,INDEX(T_Equipos[Grupo],MATCH(BD39,T_Equipos[NombreEquipo],0))))</f>
        <v>-</v>
      </c>
      <c r="DH39" s="9">
        <f>DA39+COUNTIFS(DB$6:DB$53,DB39,DG$6:DG$53,"&lt;"&amp;DG39,$BC$6:$BC$53,INDEX(T_Equipos[Grupo],MATCH(BD39,T_Equipos[NombreEquipo],0)))</f>
        <v>3</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Norway</v>
      </c>
    </row>
    <row r="40" spans="1:121" ht="16.149999999999999" customHeight="1">
      <c r="A40" s="8" t="str">
        <f>+Equipos!B21</f>
        <v>Ecuador</v>
      </c>
      <c r="D40" s="8" t="str">
        <f t="shared" si="100"/>
        <v>Empate</v>
      </c>
      <c r="E40" s="8" t="str">
        <f t="shared" si="101"/>
        <v>P.3 (2)</v>
      </c>
      <c r="F40" s="8" t="str">
        <f t="shared" si="102"/>
        <v>P.3 (2)</v>
      </c>
      <c r="H40" s="8" t="str">
        <f t="shared" si="103"/>
        <v>P.3 (2)</v>
      </c>
      <c r="I40" s="8" t="str">
        <f t="shared" si="104"/>
        <v>P.3 (2)</v>
      </c>
      <c r="K40" s="8" t="str">
        <f t="shared" si="105"/>
        <v>P.3 (2)</v>
      </c>
      <c r="L40" s="8" t="str">
        <f t="shared" si="106"/>
        <v>P.3 (2)</v>
      </c>
      <c r="N40" s="8" t="str">
        <f t="shared" si="107"/>
        <v>P.3 (2)</v>
      </c>
      <c r="O40" s="8" t="str">
        <f t="shared" si="108"/>
        <v>P.3 (2)</v>
      </c>
      <c r="Q40" s="8" t="str">
        <f t="shared" si="109"/>
        <v>P.3 (2)</v>
      </c>
      <c r="R40" s="8" t="str">
        <f t="shared" si="110"/>
        <v>P.3 (2)</v>
      </c>
      <c r="T40" s="8" t="str">
        <f t="shared" si="111"/>
        <v>P.3 (2)</v>
      </c>
      <c r="U40" s="8" t="str">
        <f t="shared" si="112"/>
        <v>P.3 (2)</v>
      </c>
      <c r="V40" s="379"/>
      <c r="W40" s="607"/>
      <c r="X40" s="397">
        <f>Horarios!C40</f>
        <v>46198.666666666657</v>
      </c>
      <c r="Y40" s="398">
        <f>Horarios!C40</f>
        <v>46198.666666666657</v>
      </c>
      <c r="Z40" s="399" t="str">
        <f>$Z$8</f>
        <v>R3</v>
      </c>
      <c r="AA40" s="400" t="str">
        <f>A38</f>
        <v>Curaçao</v>
      </c>
      <c r="AB40" s="401" t="str">
        <f t="array" aca="1" ref="AB40" ca="1">Ver_flag_local</f>
        <v/>
      </c>
      <c r="AC40" s="15">
        <v>1</v>
      </c>
      <c r="AD40" s="16">
        <v>1</v>
      </c>
      <c r="AE40" s="402" t="str">
        <f t="array" aca="1" ref="AE40" ca="1">Ver_flag_visit</f>
        <v/>
      </c>
      <c r="AF40" s="403" t="str">
        <f>A39</f>
        <v>Ivory Coast</v>
      </c>
      <c r="AG40" s="404">
        <f t="shared" si="113"/>
        <v>1</v>
      </c>
      <c r="AH40" s="405">
        <v>55</v>
      </c>
      <c r="AI40" s="406" t="str">
        <f>AJ40&amp;$B$36</f>
        <v>3E</v>
      </c>
      <c r="AJ40" s="431">
        <v>3</v>
      </c>
      <c r="AK40" s="476" t="str">
        <f t="array" aca="1" ref="AK40" ca="1">Ver_flag_visit</f>
        <v/>
      </c>
      <c r="AL40" s="433" t="str">
        <f>IFERROR(INDEX($BD$6:$BD$53,MATCH(AI40,$BN$6:$BN$53,0)),"")</f>
        <v>Curaçao</v>
      </c>
      <c r="AM40" s="434">
        <f t="shared" si="115"/>
        <v>1</v>
      </c>
      <c r="AN40" s="435">
        <f t="shared" si="115"/>
        <v>3</v>
      </c>
      <c r="AO40" s="435">
        <f t="shared" si="115"/>
        <v>0</v>
      </c>
      <c r="AP40" s="435">
        <f t="shared" si="115"/>
        <v>1</v>
      </c>
      <c r="AQ40" s="435">
        <f t="shared" si="115"/>
        <v>2</v>
      </c>
      <c r="AR40" s="435">
        <f t="shared" si="115"/>
        <v>1</v>
      </c>
      <c r="AS40" s="435">
        <f t="shared" si="115"/>
        <v>4</v>
      </c>
      <c r="AT40" s="436">
        <f t="shared" si="115"/>
        <v>-3</v>
      </c>
      <c r="AU40" s="425">
        <f>INDEX($DL$6:$DL$53,MATCH(AI40,$DP$6:$DP$53,0))</f>
        <v>2</v>
      </c>
      <c r="AV40" s="426" t="str">
        <f>INDEX($BD$6:$BD$53,MATCH(AI40,$BM$6:$BM$53,0))</f>
        <v>Curaçao</v>
      </c>
      <c r="AW40" s="579">
        <v>1</v>
      </c>
      <c r="AX40" s="428"/>
      <c r="AY40" s="429" t="str">
        <f>+A39</f>
        <v>Ivory Coast</v>
      </c>
      <c r="AZ40" s="430"/>
      <c r="BA40" s="378"/>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0</v>
      </c>
      <c r="BK40" s="9">
        <f t="shared" si="22"/>
        <v>6</v>
      </c>
      <c r="BL40" s="9">
        <f t="shared" si="23"/>
        <v>-6</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Senegal</v>
      </c>
    </row>
    <row r="41" spans="1:121" ht="16.149999999999999" customHeight="1" thickBot="1">
      <c r="D41" s="8" t="str">
        <f t="shared" si="100"/>
        <v>Visitante</v>
      </c>
      <c r="E41" s="8" t="str">
        <f t="shared" si="101"/>
        <v>-</v>
      </c>
      <c r="F41" s="8" t="str">
        <f t="shared" si="102"/>
        <v>-</v>
      </c>
      <c r="H41" s="8" t="str">
        <f t="shared" si="103"/>
        <v>-</v>
      </c>
      <c r="I41" s="8" t="str">
        <f t="shared" si="104"/>
        <v>-</v>
      </c>
      <c r="K41" s="8" t="str">
        <f t="shared" si="105"/>
        <v>-</v>
      </c>
      <c r="L41" s="8" t="str">
        <f t="shared" si="106"/>
        <v>-</v>
      </c>
      <c r="N41" s="8" t="str">
        <f t="shared" si="107"/>
        <v>-</v>
      </c>
      <c r="O41" s="8" t="str">
        <f t="shared" si="108"/>
        <v>-</v>
      </c>
      <c r="Q41" s="8" t="str">
        <f t="shared" si="109"/>
        <v>-</v>
      </c>
      <c r="R41" s="8" t="str">
        <f t="shared" si="110"/>
        <v>-</v>
      </c>
      <c r="T41" s="8" t="str">
        <f t="shared" si="111"/>
        <v>-</v>
      </c>
      <c r="U41" s="8" t="str">
        <f t="shared" si="112"/>
        <v>-</v>
      </c>
      <c r="V41" s="379"/>
      <c r="W41" s="608"/>
      <c r="X41" s="439">
        <f>Horarios!C41</f>
        <v>46198.666666666657</v>
      </c>
      <c r="Y41" s="440">
        <f>Horarios!C41</f>
        <v>46198.666666666657</v>
      </c>
      <c r="Z41" s="441" t="str">
        <f>$Z$8</f>
        <v>R3</v>
      </c>
      <c r="AA41" s="442" t="str">
        <f>A40</f>
        <v>Ecuador</v>
      </c>
      <c r="AB41" s="443" t="str">
        <f t="array" aca="1" ref="AB41" ca="1">Ver_flag_local</f>
        <v/>
      </c>
      <c r="AC41" s="17">
        <v>0</v>
      </c>
      <c r="AD41" s="18">
        <v>2</v>
      </c>
      <c r="AE41" s="444" t="str">
        <f t="array" aca="1" ref="AE41" ca="1">Ver_flag_visit</f>
        <v/>
      </c>
      <c r="AF41" s="445" t="str">
        <f>A37</f>
        <v>Germany</v>
      </c>
      <c r="AG41" s="404">
        <f t="shared" si="113"/>
        <v>1</v>
      </c>
      <c r="AH41" s="405">
        <v>56</v>
      </c>
      <c r="AI41" s="406" t="str">
        <f>AJ41&amp;$B$36</f>
        <v>4E</v>
      </c>
      <c r="AJ41" s="446">
        <v>4</v>
      </c>
      <c r="AK41" s="485" t="str">
        <f t="array" aca="1" ref="AK41" ca="1">Ver_flag_visit</f>
        <v/>
      </c>
      <c r="AL41" s="448" t="str">
        <f>IFERROR(INDEX($BD$6:$BD$53,MATCH(AI41,$BN$6:$BN$53,0)),"")</f>
        <v>Ivory Coast</v>
      </c>
      <c r="AM41" s="449">
        <f t="shared" si="115"/>
        <v>1</v>
      </c>
      <c r="AN41" s="450">
        <f t="shared" si="115"/>
        <v>3</v>
      </c>
      <c r="AO41" s="450">
        <f t="shared" si="115"/>
        <v>0</v>
      </c>
      <c r="AP41" s="450">
        <f t="shared" si="115"/>
        <v>1</v>
      </c>
      <c r="AQ41" s="450">
        <f t="shared" si="115"/>
        <v>2</v>
      </c>
      <c r="AR41" s="450">
        <f t="shared" si="115"/>
        <v>1</v>
      </c>
      <c r="AS41" s="450">
        <f t="shared" si="115"/>
        <v>4</v>
      </c>
      <c r="AT41" s="451">
        <f t="shared" si="115"/>
        <v>-3</v>
      </c>
      <c r="AU41" s="425">
        <f>INDEX($DL$6:$DL$53,MATCH(AI41,$DP$6:$DP$53,0))</f>
        <v>2</v>
      </c>
      <c r="AV41" s="426" t="str">
        <f>INDEX($BD$6:$BD$53,MATCH(AI41,$BM$6:$BM$53,0))</f>
        <v>Ivory Coast</v>
      </c>
      <c r="AW41" s="579">
        <v>2</v>
      </c>
      <c r="AX41" s="428"/>
      <c r="AY41" s="452" t="str">
        <f>+A40</f>
        <v>Ecuador</v>
      </c>
      <c r="AZ41" s="453"/>
      <c r="BA41" s="378"/>
      <c r="BC41" s="9" t="str">
        <f>+INDEX(T_Equipos[Grupo],MATCH(WORLDCUP!BD41,T_Equipos[NombreEquipo],0))</f>
        <v>I</v>
      </c>
      <c r="BD41" s="9" t="str">
        <f>+Equipos!B37</f>
        <v>Norway</v>
      </c>
      <c r="BE41" s="9">
        <f t="shared" si="16"/>
        <v>6</v>
      </c>
      <c r="BF41" s="9">
        <f t="shared" si="17"/>
        <v>3</v>
      </c>
      <c r="BG41" s="9">
        <f t="shared" si="18"/>
        <v>2</v>
      </c>
      <c r="BH41" s="9">
        <f t="shared" si="19"/>
        <v>0</v>
      </c>
      <c r="BI41" s="9">
        <f t="shared" si="20"/>
        <v>1</v>
      </c>
      <c r="BJ41" s="9">
        <f t="shared" si="21"/>
        <v>4</v>
      </c>
      <c r="BK41" s="9">
        <f t="shared" si="22"/>
        <v>2</v>
      </c>
      <c r="BL41" s="9">
        <f t="shared" si="23"/>
        <v>2</v>
      </c>
      <c r="BM41" s="9" t="str">
        <f t="shared" si="24"/>
        <v>2I</v>
      </c>
      <c r="BN41" s="9" t="str">
        <f t="shared" si="25"/>
        <v>2I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6</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v>
      </c>
      <c r="BU41" s="9" t="str">
        <f t="shared" si="28"/>
        <v>-</v>
      </c>
      <c r="BV41" s="9" t="str">
        <f t="shared" si="29"/>
        <v>-</v>
      </c>
      <c r="BW41" s="9" t="str">
        <f t="shared" si="30"/>
        <v>-</v>
      </c>
      <c r="BX41" s="9" t="str">
        <f t="shared" si="31"/>
        <v>-</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v>
      </c>
      <c r="CA41" s="9" t="str">
        <f t="shared" si="32"/>
        <v>-</v>
      </c>
      <c r="CB41" s="9" t="str">
        <f t="shared" si="33"/>
        <v>-</v>
      </c>
      <c r="CC41" s="9" t="str">
        <f t="shared" si="34"/>
        <v>-</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v>
      </c>
      <c r="CF41" s="9" t="str">
        <f t="shared" si="35"/>
        <v>-</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v>
      </c>
      <c r="CI41" s="9" t="str">
        <f t="shared" si="36"/>
        <v>-</v>
      </c>
      <c r="CJ41" s="9" t="str">
        <f t="shared" si="37"/>
        <v>-</v>
      </c>
      <c r="CK41" s="9" t="str">
        <f t="shared" si="38"/>
        <v>-</v>
      </c>
      <c r="CL41" s="9" t="str">
        <f t="shared" si="39"/>
        <v>-</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v>
      </c>
      <c r="CO41" s="9" t="str">
        <f t="shared" si="40"/>
        <v>-</v>
      </c>
      <c r="CP41" s="9" t="str">
        <f t="shared" si="41"/>
        <v>-</v>
      </c>
      <c r="CQ41" s="9" t="str">
        <f t="shared" si="42"/>
        <v>-</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v>
      </c>
      <c r="CT41" s="9" t="str">
        <f t="shared" si="43"/>
        <v>-</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v>
      </c>
      <c r="CW41" s="9" t="str">
        <f t="shared" si="44"/>
        <v>-</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2</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2</v>
      </c>
      <c r="DE41" s="9"/>
      <c r="DF41" s="9">
        <f t="shared" si="46"/>
        <v>2</v>
      </c>
      <c r="DG41" s="9" t="str">
        <f>IF(DB41="-","-",COUNTIFS(DF$6:DF$53,"&lt;"&amp;DF41,$BC$6:$BC$53,INDEX(T_Equipos[Grupo],MATCH(BD41,T_Equipos[NombreEquipo],0))))</f>
        <v>-</v>
      </c>
      <c r="DH41" s="9">
        <f>DA41+COUNTIFS(DB$6:DB$53,DB41,DG$6:DG$53,"&lt;"&amp;DG41,$BC$6:$BC$53,INDEX(T_Equipos[Grupo],MATCH(BD41,T_Equipos[NombreEquipo],0)))</f>
        <v>2</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79"/>
      <c r="W42" s="454"/>
      <c r="X42" s="455"/>
      <c r="Y42" s="454"/>
      <c r="Z42" s="456"/>
      <c r="AA42" s="457"/>
      <c r="AB42" s="458"/>
      <c r="AC42" s="459"/>
      <c r="AD42" s="459"/>
      <c r="AE42" s="458"/>
      <c r="AF42" s="460"/>
      <c r="AG42" s="484"/>
      <c r="AH42" s="405"/>
      <c r="AI42" s="374"/>
      <c r="AJ42" s="461"/>
      <c r="AK42" s="462"/>
      <c r="AL42" s="395"/>
      <c r="AM42" s="463"/>
      <c r="AN42" s="461"/>
      <c r="AO42" s="461"/>
      <c r="AP42" s="461"/>
      <c r="AQ42" s="461"/>
      <c r="AR42" s="461"/>
      <c r="AS42" s="461"/>
      <c r="AT42" s="461"/>
      <c r="AU42" s="425"/>
      <c r="AV42" s="464"/>
      <c r="AW42" s="427"/>
      <c r="AX42" s="428"/>
      <c r="AY42" s="454"/>
      <c r="AZ42" s="455"/>
      <c r="BA42" s="378"/>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6</v>
      </c>
      <c r="BK42" s="9">
        <f t="shared" si="22"/>
        <v>1</v>
      </c>
      <c r="BL42" s="9">
        <f t="shared" si="23"/>
        <v>5</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79"/>
      <c r="W43" s="388"/>
      <c r="X43" s="389" t="str">
        <f>X27</f>
        <v>Date</v>
      </c>
      <c r="Y43" s="389" t="str">
        <f>Y27</f>
        <v>Hour</v>
      </c>
      <c r="Z43" s="390" t="str">
        <f>Z27</f>
        <v>R</v>
      </c>
      <c r="AA43" s="391" t="str">
        <f>AA27</f>
        <v>Home</v>
      </c>
      <c r="AB43" s="392"/>
      <c r="AC43" s="390" t="str">
        <f>AC3</f>
        <v>Goals</v>
      </c>
      <c r="AD43" s="390" t="str">
        <f>AD3</f>
        <v>Goals</v>
      </c>
      <c r="AE43" s="392"/>
      <c r="AF43" s="393" t="str">
        <f>AF27</f>
        <v>Away</v>
      </c>
      <c r="AG43" s="465"/>
      <c r="AH43" s="405"/>
      <c r="AI43" s="382"/>
      <c r="AJ43" s="395"/>
      <c r="AK43" s="466"/>
      <c r="AL43" s="395"/>
      <c r="AM43" s="395"/>
      <c r="AN43" s="395"/>
      <c r="AO43" s="395"/>
      <c r="AP43" s="395"/>
      <c r="AQ43" s="395"/>
      <c r="AR43" s="395"/>
      <c r="AS43" s="395"/>
      <c r="AT43" s="395"/>
      <c r="AU43" s="467"/>
      <c r="AV43" s="384"/>
      <c r="AW43" s="468"/>
      <c r="AX43" s="469"/>
      <c r="AY43" s="454"/>
      <c r="AZ43" s="455"/>
      <c r="BA43" s="378"/>
      <c r="BC43" s="9" t="str">
        <f>+INDEX(T_Equipos[Grupo],MATCH(WORLDCUP!BD43,T_Equipos[NombreEquipo],0))</f>
        <v>J</v>
      </c>
      <c r="BD43" s="9" t="str">
        <f>+Equipos!B39</f>
        <v>Algeria</v>
      </c>
      <c r="BE43" s="9">
        <f t="shared" si="16"/>
        <v>1</v>
      </c>
      <c r="BF43" s="9">
        <f t="shared" si="17"/>
        <v>3</v>
      </c>
      <c r="BG43" s="9">
        <f t="shared" si="18"/>
        <v>0</v>
      </c>
      <c r="BH43" s="9">
        <f t="shared" si="19"/>
        <v>1</v>
      </c>
      <c r="BI43" s="9">
        <f t="shared" si="20"/>
        <v>2</v>
      </c>
      <c r="BJ43" s="9">
        <f t="shared" si="21"/>
        <v>0</v>
      </c>
      <c r="BK43" s="9">
        <f t="shared" si="22"/>
        <v>4</v>
      </c>
      <c r="BL43" s="9">
        <f t="shared" si="23"/>
        <v>-4</v>
      </c>
      <c r="BM43" s="9" t="str">
        <f t="shared" si="24"/>
        <v>4J</v>
      </c>
      <c r="BN43" s="9" t="str">
        <f t="shared" si="25"/>
        <v>4J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1</v>
      </c>
      <c r="BS43" s="9">
        <f>BP43+COUNTIFS($BQ$6:$BQ$53,BQ43,$BR$6:BR$53,"&gt;"&amp;BR43,$BC$6:$BC$53,INDEX(T_Equipos[Grupo],MATCH(BD43,T_Equipos[NombreEquipo],0)))</f>
        <v>3</v>
      </c>
      <c r="BT43" s="9" t="str">
        <f>IF(COUNTIFS($BS$6:$BS$53,BS43,$BC$6:$BC$53,INDEX(T_Equipos[Grupo],MATCH(BD43,T_Equipos[NombreEquipo],0)))=1,"-","P."&amp;BS43&amp;" ("&amp;COUNTIFS($BS$6:$BS$53,BS43,$BC$6:$BC$53,INDEX(T_Equipos[Grupo],MATCH(BD43,T_Equipos[NombreEquipo],0)))&amp;")")</f>
        <v>P.3 (2)</v>
      </c>
      <c r="BU43" s="9">
        <f t="shared" si="28"/>
        <v>0</v>
      </c>
      <c r="BV43" s="9">
        <f t="shared" si="29"/>
        <v>1</v>
      </c>
      <c r="BW43" s="9">
        <f t="shared" si="30"/>
        <v>0</v>
      </c>
      <c r="BX43" s="9">
        <f t="shared" si="31"/>
        <v>1</v>
      </c>
      <c r="BY43" s="9">
        <f>BS43+COUNTIFS($BT$6:$BT$53,BT43,$BX$6:BX$53,"&gt;"&amp;BX43,$BC$6:$BC$53,INDEX(T_Equipos[Grupo],MATCH(BD43,T_Equipos[NombreEquipo],0)))</f>
        <v>3</v>
      </c>
      <c r="BZ43" s="9" t="str">
        <f>IF(COUNTIFS($BY$6:$BY$53,BY43,$BC$6:$BC$53,INDEX(T_Equipos[Grupo],MATCH(BD43,T_Equipos[NombreEquipo],0)))=1,"-","P."&amp;BY43&amp;" ("&amp;COUNTIFS($BY$6:$BY$53,BY43,$BC$6:$BC$53,INDEX(T_Equipos[Grupo],MATCH(BD43,T_Equipos[NombreEquipo],0)))&amp;")")</f>
        <v>P.3 (2)</v>
      </c>
      <c r="CA43" s="9">
        <f t="shared" si="32"/>
        <v>0</v>
      </c>
      <c r="CB43" s="9">
        <f t="shared" si="33"/>
        <v>0</v>
      </c>
      <c r="CC43" s="9">
        <f t="shared" si="34"/>
        <v>0</v>
      </c>
      <c r="CD43" s="9">
        <f>BY43+COUNTIFS($BZ$6:$BZ$53,BZ43,$CC$6:CC$53,"&gt;"&amp;CC43,$BC$6:$BC$53,INDEX(T_Equipos[Grupo],MATCH(BD43,T_Equipos[NombreEquipo],0)))</f>
        <v>3</v>
      </c>
      <c r="CE43" s="9" t="str">
        <f>IF(COUNTIFS($CD$6:$CD$53,CD43,$BC$6:$BC$53,INDEX(T_Equipos[Grupo],MATCH(BD43,T_Equipos[NombreEquipo],0)))=1,"-","P."&amp;CD43&amp;" ("&amp;COUNTIFS($CD$6:$CD$53,CD43,$BC$6:$BC$53,INDEX(T_Equipos[Grupo],MATCH(BD43,T_Equipos[NombreEquipo],0)))&amp;")")</f>
        <v>P.3 (2)</v>
      </c>
      <c r="CF43" s="9">
        <f t="shared" si="35"/>
        <v>0</v>
      </c>
      <c r="CG43" s="9">
        <f>CD43+COUNTIFS($CE$6:$CE$53,CE43,$CF$6:CF$53,"&gt;"&amp;CF43,$BC$6:$BC$53,INDEX(T_Equipos[Grupo],MATCH(BD43,T_Equipos[NombreEquipo],0)))</f>
        <v>3</v>
      </c>
      <c r="CH43" s="9" t="str">
        <f>IF(COUNTIFS($CG$6:$CG$53,CG43,$BC$6:$BC$53,INDEX(T_Equipos[Grupo],MATCH(BD43,T_Equipos[NombreEquipo],0)))=1,"-","P."&amp;CG43&amp;" ("&amp;COUNTIFS($CG$6:$CG$53,CG43,$BC$6:$BC$53,INDEX(T_Equipos[Grupo],MATCH(BD43,T_Equipos[NombreEquipo],0)))&amp;")")</f>
        <v>P.3 (2)</v>
      </c>
      <c r="CI43" s="9">
        <f t="shared" si="36"/>
        <v>0</v>
      </c>
      <c r="CJ43" s="9">
        <f t="shared" si="37"/>
        <v>1</v>
      </c>
      <c r="CK43" s="9">
        <f t="shared" si="38"/>
        <v>0</v>
      </c>
      <c r="CL43" s="9">
        <f t="shared" si="39"/>
        <v>1</v>
      </c>
      <c r="CM43" s="9">
        <f>CG43+COUNTIFS($CH$6:$CH$53,CH43,$CL$6:CL$53,"&gt;"&amp;CL43,$BC$6:$BC$53,INDEX(T_Equipos[Grupo],MATCH(BD43,T_Equipos[NombreEquipo],0)))</f>
        <v>3</v>
      </c>
      <c r="CN43" s="9" t="str">
        <f>IF(COUNTIFS($CM$6:$CM$53,CM43,$BC$6:$BC$53,INDEX(T_Equipos[Grupo],MATCH(BD43,T_Equipos[NombreEquipo],0)))=1,"-","P."&amp;CM43&amp;" ("&amp;COUNTIFS($CM$6:$CM$53,CM43,$BC$6:$BC$53,INDEX(T_Equipos[Grupo],MATCH(BD43,T_Equipos[NombreEquipo],0)))&amp;")")</f>
        <v>P.3 (2)</v>
      </c>
      <c r="CO43" s="9">
        <f t="shared" si="40"/>
        <v>0</v>
      </c>
      <c r="CP43" s="9">
        <f t="shared" si="41"/>
        <v>0</v>
      </c>
      <c r="CQ43" s="9">
        <f t="shared" si="42"/>
        <v>0</v>
      </c>
      <c r="CR43" s="9">
        <f>CM43+COUNTIFS($CN$6:$CN$53,CN43,$CQ$6:CQ$53,"&gt;"&amp;CQ43,$BC$6:$BC$53,INDEX(T_Equipos[Grupo],MATCH(BD43,T_Equipos[NombreEquipo],0)))</f>
        <v>3</v>
      </c>
      <c r="CS43" s="9" t="str">
        <f>IF(COUNTIFS($CR$6:$CR$53,CR43,$BC$6:$BC$53,INDEX(T_Equipos[Grupo],MATCH(BD43,T_Equipos[NombreEquipo],0)))=1,"-","P."&amp;CR43&amp;" ("&amp;COUNTIFS($CR$6:$CR$53,CR43,$BC$6:$BC$53,INDEX(T_Equipos[Grupo],MATCH(BD43,T_Equipos[NombreEquipo],0)))&amp;")")</f>
        <v>P.3 (2)</v>
      </c>
      <c r="CT43" s="9">
        <f t="shared" si="43"/>
        <v>0</v>
      </c>
      <c r="CU43" s="9">
        <f>CR43+COUNTIFS($CS$6:$CS$53,CS43,$CT$6:CT$53,"&gt;"&amp;CT43,$BC$6:$BC$53,INDEX(T_Equipos[Grupo],MATCH(BD43,T_Equipos[NombreEquipo],0)))</f>
        <v>3</v>
      </c>
      <c r="CV43" s="9" t="str">
        <f>IF(COUNTIFS($CU$6:$CU$53,CU43,$BC$6:$BC$53,INDEX(T_Equipos[Grupo],MATCH(BD43,T_Equipos[NombreEquipo],0)))=1,"-","P."&amp;CU43&amp;" ("&amp;COUNTIFS($CU$6:$CU$53,CU43,$BC$6:$BC$53,INDEX(T_Equipos[Grupo],MATCH(BD43,T_Equipos[NombreEquipo],0)))&amp;")")</f>
        <v>P.3 (2)</v>
      </c>
      <c r="CW43" s="9">
        <f t="shared" si="44"/>
        <v>-4</v>
      </c>
      <c r="CX43" s="9">
        <f>CU43+COUNTIFS($CV$6:$CV$53,CV43,$CW$6:CW$53,"&gt;"&amp;CW43,$BC$6:$BC$53,INDEX(T_Equipos[Grupo],MATCH(BD43,T_Equipos[NombreEquipo],0)))</f>
        <v>4</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4</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4</v>
      </c>
      <c r="DE43" s="9"/>
      <c r="DF43" s="9">
        <f t="shared" si="46"/>
        <v>4</v>
      </c>
      <c r="DG43" s="9" t="str">
        <f>IF(DB43="-","-",COUNTIFS(DF$6:DF$53,"&lt;"&amp;DF43,$BC$6:$BC$53,INDEX(T_Equipos[Grupo],MATCH(BD43,T_Equipos[NombreEquipo],0))))</f>
        <v>-</v>
      </c>
      <c r="DH43" s="9">
        <f>DA43+COUNTIFS(DB$6:DB$53,DB43,DG$6:DG$53,"&lt;"&amp;DG43,$BC$6:$BC$53,INDEX(T_Equipos[Grupo],MATCH(BD43,T_Equipos[NombreEquipo],0)))</f>
        <v>4</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Austria</v>
      </c>
    </row>
    <row r="44" spans="1:121" ht="16.149999999999999" customHeight="1" thickBot="1">
      <c r="A44" s="8" t="s">
        <v>19</v>
      </c>
      <c r="B44" s="8" t="s">
        <v>116</v>
      </c>
      <c r="C44" s="8">
        <f>COUNTIF(Equipos!$C$2:$C$49,WORLDCUP!B44)</f>
        <v>4</v>
      </c>
      <c r="D44" s="8" t="str">
        <f t="shared" ref="D44:D49" si="116">IF(OR(AC44="",AD44=""),"Pendiente",IF(AC44&gt;AD44,"Local",IF(AC44&lt;AD44,"Visitante","Empate")))</f>
        <v>Local</v>
      </c>
      <c r="E44" s="8" t="str">
        <f t="shared" ref="E44:E49" si="117">IF(D44="Pendiente","-",INDEX($BT$6:$BT$53,MATCH($AA44,$BD$6:$BD$53,0)))</f>
        <v>-</v>
      </c>
      <c r="F44" s="8" t="str">
        <f t="shared" ref="F44:F49" si="118">IF(D44="Pendiente","-",INDEX($BT$6:$BT$53,MATCH($AF44,$BD$6:$BD$53,0)))</f>
        <v>-</v>
      </c>
      <c r="H44" s="8" t="str">
        <f t="shared" ref="H44:H49" si="119">IF(D44="Pendiente","-",INDEX($BZ$6:$BZ$53,MATCH($AA44,$BD$6:$BD$53,0)))</f>
        <v>-</v>
      </c>
      <c r="I44" s="8" t="str">
        <f t="shared" ref="I44:I49" si="120">IF(D44="Pendiente","-",INDEX($BZ$6:$BZ$53,MATCH($AF44,$BD$6:$BD$53,0)))</f>
        <v>-</v>
      </c>
      <c r="K44" s="8" t="str">
        <f t="shared" ref="K44:K49" si="121">IF(D44="Pendiente","-",INDEX($CE$6:$CE$53,MATCH($AA44,$BD$6:$BD$53,0)))</f>
        <v>-</v>
      </c>
      <c r="L44" s="8" t="str">
        <f t="shared" ref="L44:L49" si="122">IF(D44="Pendiente","-",INDEX($CE$6:$CE$53,MATCH($AF44,$BD$6:$BD$53,0)))</f>
        <v>-</v>
      </c>
      <c r="N44" s="8" t="str">
        <f t="shared" ref="N44:N49" si="123">IF(D44="Pendiente","-",INDEX($CH$6:$CH$53,MATCH($AA44,$BD$6:$BD$53,0)))</f>
        <v>-</v>
      </c>
      <c r="O44" s="8" t="str">
        <f t="shared" ref="O44:O49" si="124">IF(D44="Pendiente","-",INDEX($CH$6:$CH$53,MATCH($AF44,$BD$6:$BD$53,0)))</f>
        <v>-</v>
      </c>
      <c r="Q44" s="8" t="str">
        <f t="shared" ref="Q44:Q49" si="125">IF(D44="Pendiente","-",INDEX($CN$6:$CN$53,MATCH($AA44,$BD$6:$BD$53,0)))</f>
        <v>-</v>
      </c>
      <c r="R44" s="8" t="str">
        <f t="shared" ref="R44:R49" si="126">IF(D44="Pendiente","-",INDEX($CN$6:$CN$53,MATCH($AF44,$BD$6:$BD$53,0)))</f>
        <v>-</v>
      </c>
      <c r="T44" s="8" t="str">
        <f t="shared" ref="T44:T49" si="127">IF(D44="Pendiente","-",INDEX($CS$6:$CS$53,MATCH($AA44,$BD$6:$BD$53,0)))</f>
        <v>-</v>
      </c>
      <c r="U44" s="8" t="str">
        <f t="shared" ref="U44:U49" si="128">IF(D44="Pendiente","-",INDEX($CS$6:$CS$53,MATCH($AF44,$BD$6:$BD$53,0)))</f>
        <v>-</v>
      </c>
      <c r="V44" s="379"/>
      <c r="W44" s="620" t="s">
        <v>116</v>
      </c>
      <c r="X44" s="397">
        <f>Horarios!C44</f>
        <v>46187.666666666657</v>
      </c>
      <c r="Y44" s="398">
        <f>Horarios!C44</f>
        <v>46187.666666666657</v>
      </c>
      <c r="Z44" s="399" t="str">
        <f>$Z$4</f>
        <v>R1</v>
      </c>
      <c r="AA44" s="400" t="str">
        <f>A45</f>
        <v>Netherlands</v>
      </c>
      <c r="AB44" s="401" t="str">
        <f t="array" aca="1" ref="AB44" ca="1">Ver_flag_local</f>
        <v/>
      </c>
      <c r="AC44" s="15">
        <v>2</v>
      </c>
      <c r="AD44" s="16">
        <v>1</v>
      </c>
      <c r="AE44" s="402" t="str">
        <f t="array" aca="1" ref="AE44" ca="1">Ver_flag_visit</f>
        <v/>
      </c>
      <c r="AF44" s="403" t="str">
        <f>A46</f>
        <v>Japan</v>
      </c>
      <c r="AG44" s="404">
        <f t="shared" ref="AG44:AG49" si="129">IF(NOT(OR(ISBLANK(AC44),ISBLANK(AD44))),1,0)</f>
        <v>1</v>
      </c>
      <c r="AH44" s="405">
        <v>11</v>
      </c>
      <c r="AI44" s="406"/>
      <c r="AJ44" s="407" t="str">
        <f>CONCATENATE(AJ3," ",B44)</f>
        <v>Group F</v>
      </c>
      <c r="AK44" s="408"/>
      <c r="AL44" s="408"/>
      <c r="AM44" s="408"/>
      <c r="AN44" s="408"/>
      <c r="AO44" s="408"/>
      <c r="AP44" s="408"/>
      <c r="AQ44" s="408"/>
      <c r="AR44" s="408"/>
      <c r="AS44" s="408"/>
      <c r="AT44" s="409"/>
      <c r="AU44" s="467"/>
      <c r="AV44" s="410" t="str">
        <f>IF(AU45&gt;0,$AV$3,"")</f>
        <v/>
      </c>
      <c r="AW44" s="471"/>
      <c r="AX44" s="471"/>
      <c r="AY44" s="454"/>
      <c r="AZ44" s="455"/>
      <c r="BA44" s="378"/>
      <c r="BC44" s="9" t="str">
        <f>+INDEX(T_Equipos[Grupo],MATCH(WORLDCUP!BD44,T_Equipos[NombreEquipo],0))</f>
        <v>J</v>
      </c>
      <c r="BD44" s="9" t="str">
        <f>+Equipos!B40</f>
        <v>Austria</v>
      </c>
      <c r="BE44" s="9">
        <f t="shared" si="16"/>
        <v>6</v>
      </c>
      <c r="BF44" s="9">
        <f t="shared" si="17"/>
        <v>3</v>
      </c>
      <c r="BG44" s="9">
        <f t="shared" si="18"/>
        <v>2</v>
      </c>
      <c r="BH44" s="9">
        <f t="shared" si="19"/>
        <v>0</v>
      </c>
      <c r="BI44" s="9">
        <f t="shared" si="20"/>
        <v>1</v>
      </c>
      <c r="BJ44" s="9">
        <f t="shared" si="21"/>
        <v>4</v>
      </c>
      <c r="BK44" s="9">
        <f t="shared" si="22"/>
        <v>2</v>
      </c>
      <c r="BL44" s="9">
        <f t="shared" si="23"/>
        <v>2</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6</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v>
      </c>
      <c r="BU44" s="9" t="str">
        <f t="shared" si="28"/>
        <v>-</v>
      </c>
      <c r="BV44" s="9" t="str">
        <f t="shared" si="29"/>
        <v>-</v>
      </c>
      <c r="BW44" s="9" t="str">
        <f t="shared" si="30"/>
        <v>-</v>
      </c>
      <c r="BX44" s="9" t="str">
        <f t="shared" si="31"/>
        <v>-</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v>
      </c>
      <c r="CA44" s="9" t="str">
        <f t="shared" si="32"/>
        <v>-</v>
      </c>
      <c r="CB44" s="9" t="str">
        <f t="shared" si="33"/>
        <v>-</v>
      </c>
      <c r="CC44" s="9" t="str">
        <f t="shared" si="34"/>
        <v>-</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v>
      </c>
      <c r="CF44" s="9" t="str">
        <f t="shared" si="35"/>
        <v>-</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v>
      </c>
      <c r="CI44" s="9" t="str">
        <f t="shared" si="36"/>
        <v>-</v>
      </c>
      <c r="CJ44" s="9" t="str">
        <f t="shared" si="37"/>
        <v>-</v>
      </c>
      <c r="CK44" s="9" t="str">
        <f t="shared" si="38"/>
        <v>-</v>
      </c>
      <c r="CL44" s="9" t="str">
        <f t="shared" si="39"/>
        <v>-</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v>
      </c>
      <c r="CO44" s="9" t="str">
        <f t="shared" si="40"/>
        <v>-</v>
      </c>
      <c r="CP44" s="9" t="str">
        <f t="shared" si="41"/>
        <v>-</v>
      </c>
      <c r="CQ44" s="9" t="str">
        <f t="shared" si="42"/>
        <v>-</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v>
      </c>
      <c r="CT44" s="9" t="str">
        <f t="shared" si="43"/>
        <v>-</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v>
      </c>
      <c r="CW44" s="9" t="str">
        <f t="shared" si="44"/>
        <v>-</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Jordan</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79"/>
      <c r="W45" s="607"/>
      <c r="X45" s="397">
        <f>Horarios!C45</f>
        <v>46187.916666666657</v>
      </c>
      <c r="Y45" s="398">
        <f>Horarios!C45</f>
        <v>46187.916666666657</v>
      </c>
      <c r="Z45" s="399" t="str">
        <f>$Z$4</f>
        <v>R1</v>
      </c>
      <c r="AA45" s="400" t="str">
        <f>A47</f>
        <v>Sweden</v>
      </c>
      <c r="AB45" s="401" t="str">
        <f t="array" aca="1" ref="AB45" ca="1">Ver_flag_local</f>
        <v/>
      </c>
      <c r="AC45" s="15">
        <v>2</v>
      </c>
      <c r="AD45" s="16">
        <v>0</v>
      </c>
      <c r="AE45" s="402" t="str">
        <f t="array" aca="1" ref="AE45" ca="1">Ver_flag_visit</f>
        <v/>
      </c>
      <c r="AF45" s="403" t="str">
        <f>A48</f>
        <v>Tunisia</v>
      </c>
      <c r="AG45" s="404">
        <f t="shared" si="129"/>
        <v>1</v>
      </c>
      <c r="AH45" s="405">
        <v>12</v>
      </c>
      <c r="AI45" s="406"/>
      <c r="AJ45" s="412" t="str">
        <f>AJ5</f>
        <v>Pos</v>
      </c>
      <c r="AK45" s="413"/>
      <c r="AL45" s="414" t="str">
        <f t="shared" ref="AL45:AT45" si="130">AL5</f>
        <v>Nation</v>
      </c>
      <c r="AM45" s="413" t="str">
        <f t="shared" si="130"/>
        <v>Pts</v>
      </c>
      <c r="AN45" s="413" t="str">
        <f t="shared" si="130"/>
        <v>P</v>
      </c>
      <c r="AO45" s="413" t="str">
        <f t="shared" si="130"/>
        <v>W</v>
      </c>
      <c r="AP45" s="413" t="str">
        <f t="shared" si="130"/>
        <v>D</v>
      </c>
      <c r="AQ45" s="413" t="str">
        <f t="shared" si="130"/>
        <v>L</v>
      </c>
      <c r="AR45" s="413" t="str">
        <f t="shared" si="130"/>
        <v>F</v>
      </c>
      <c r="AS45" s="413" t="str">
        <f t="shared" si="130"/>
        <v>A</v>
      </c>
      <c r="AT45" s="415" t="str">
        <f t="shared" si="130"/>
        <v>GD</v>
      </c>
      <c r="AU45" s="467">
        <f>COUNTIF(AU46:AU49,"&gt;1")</f>
        <v>0</v>
      </c>
      <c r="AV45" s="416"/>
      <c r="AW45" s="471"/>
      <c r="AX45" s="471"/>
      <c r="AY45" s="417" t="str">
        <f>AL45</f>
        <v>Nation</v>
      </c>
      <c r="AZ45" s="418" t="str">
        <f>+Idiomas!$D$67</f>
        <v>Deducted Points</v>
      </c>
      <c r="BA45" s="378"/>
      <c r="BC45" s="9" t="str">
        <f>+INDEX(T_Equipos[Grupo],MATCH(WORLDCUP!BD45,T_Equipos[NombreEquipo],0))</f>
        <v>J</v>
      </c>
      <c r="BD45" s="9" t="str">
        <f>+Equipos!B41</f>
        <v>Jordan</v>
      </c>
      <c r="BE45" s="9">
        <f t="shared" si="16"/>
        <v>1</v>
      </c>
      <c r="BF45" s="9">
        <f t="shared" si="17"/>
        <v>3</v>
      </c>
      <c r="BG45" s="9">
        <f t="shared" si="18"/>
        <v>0</v>
      </c>
      <c r="BH45" s="9">
        <f t="shared" si="19"/>
        <v>1</v>
      </c>
      <c r="BI45" s="9">
        <f t="shared" si="20"/>
        <v>2</v>
      </c>
      <c r="BJ45" s="9">
        <f t="shared" si="21"/>
        <v>0</v>
      </c>
      <c r="BK45" s="9">
        <f t="shared" si="22"/>
        <v>3</v>
      </c>
      <c r="BL45" s="9">
        <f t="shared" si="23"/>
        <v>-3</v>
      </c>
      <c r="BM45" s="9" t="str">
        <f t="shared" si="24"/>
        <v>3J</v>
      </c>
      <c r="BN45" s="9" t="str">
        <f t="shared" si="25"/>
        <v>3J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1</v>
      </c>
      <c r="BS45" s="9">
        <f>BP45+COUNTIFS($BQ$6:$BQ$53,BQ45,$BR$6:BR$53,"&gt;"&amp;BR45,$BC$6:$BC$53,INDEX(T_Equipos[Grupo],MATCH(BD45,T_Equipos[NombreEquipo],0)))</f>
        <v>3</v>
      </c>
      <c r="BT45" s="9" t="str">
        <f>IF(COUNTIFS($BS$6:$BS$53,BS45,$BC$6:$BC$53,INDEX(T_Equipos[Grupo],MATCH(BD45,T_Equipos[NombreEquipo],0)))=1,"-","P."&amp;BS45&amp;" ("&amp;COUNTIFS($BS$6:$BS$53,BS45,$BC$6:$BC$53,INDEX(T_Equipos[Grupo],MATCH(BD45,T_Equipos[NombreEquipo],0)))&amp;")")</f>
        <v>P.3 (2)</v>
      </c>
      <c r="BU45" s="9">
        <f t="shared" si="28"/>
        <v>0</v>
      </c>
      <c r="BV45" s="9">
        <f t="shared" si="29"/>
        <v>1</v>
      </c>
      <c r="BW45" s="9">
        <f t="shared" si="30"/>
        <v>0</v>
      </c>
      <c r="BX45" s="9">
        <f t="shared" si="31"/>
        <v>1</v>
      </c>
      <c r="BY45" s="9">
        <f>BS45+COUNTIFS($BT$6:$BT$53,BT45,$BX$6:BX$53,"&gt;"&amp;BX45,$BC$6:$BC$53,INDEX(T_Equipos[Grupo],MATCH(BD45,T_Equipos[NombreEquipo],0)))</f>
        <v>3</v>
      </c>
      <c r="BZ45" s="9" t="str">
        <f>IF(COUNTIFS($BY$6:$BY$53,BY45,$BC$6:$BC$53,INDEX(T_Equipos[Grupo],MATCH(BD45,T_Equipos[NombreEquipo],0)))=1,"-","P."&amp;BY45&amp;" ("&amp;COUNTIFS($BY$6:$BY$53,BY45,$BC$6:$BC$53,INDEX(T_Equipos[Grupo],MATCH(BD45,T_Equipos[NombreEquipo],0)))&amp;")")</f>
        <v>P.3 (2)</v>
      </c>
      <c r="CA45" s="9">
        <f t="shared" si="32"/>
        <v>0</v>
      </c>
      <c r="CB45" s="9">
        <f t="shared" si="33"/>
        <v>0</v>
      </c>
      <c r="CC45" s="9">
        <f t="shared" si="34"/>
        <v>0</v>
      </c>
      <c r="CD45" s="9">
        <f>BY45+COUNTIFS($BZ$6:$BZ$53,BZ45,$CC$6:CC$53,"&gt;"&amp;CC45,$BC$6:$BC$53,INDEX(T_Equipos[Grupo],MATCH(BD45,T_Equipos[NombreEquipo],0)))</f>
        <v>3</v>
      </c>
      <c r="CE45" s="9" t="str">
        <f>IF(COUNTIFS($CD$6:$CD$53,CD45,$BC$6:$BC$53,INDEX(T_Equipos[Grupo],MATCH(BD45,T_Equipos[NombreEquipo],0)))=1,"-","P."&amp;CD45&amp;" ("&amp;COUNTIFS($CD$6:$CD$53,CD45,$BC$6:$BC$53,INDEX(T_Equipos[Grupo],MATCH(BD45,T_Equipos[NombreEquipo],0)))&amp;")")</f>
        <v>P.3 (2)</v>
      </c>
      <c r="CF45" s="9">
        <f t="shared" si="35"/>
        <v>0</v>
      </c>
      <c r="CG45" s="9">
        <f>CD45+COUNTIFS($CE$6:$CE$53,CE45,$CF$6:CF$53,"&gt;"&amp;CF45,$BC$6:$BC$53,INDEX(T_Equipos[Grupo],MATCH(BD45,T_Equipos[NombreEquipo],0)))</f>
        <v>3</v>
      </c>
      <c r="CH45" s="9" t="str">
        <f>IF(COUNTIFS($CG$6:$CG$53,CG45,$BC$6:$BC$53,INDEX(T_Equipos[Grupo],MATCH(BD45,T_Equipos[NombreEquipo],0)))=1,"-","P."&amp;CG45&amp;" ("&amp;COUNTIFS($CG$6:$CG$53,CG45,$BC$6:$BC$53,INDEX(T_Equipos[Grupo],MATCH(BD45,T_Equipos[NombreEquipo],0)))&amp;")")</f>
        <v>P.3 (2)</v>
      </c>
      <c r="CI45" s="9">
        <f t="shared" si="36"/>
        <v>0</v>
      </c>
      <c r="CJ45" s="9">
        <f t="shared" si="37"/>
        <v>1</v>
      </c>
      <c r="CK45" s="9">
        <f t="shared" si="38"/>
        <v>0</v>
      </c>
      <c r="CL45" s="9">
        <f t="shared" si="39"/>
        <v>1</v>
      </c>
      <c r="CM45" s="9">
        <f>CG45+COUNTIFS($CH$6:$CH$53,CH45,$CL$6:CL$53,"&gt;"&amp;CL45,$BC$6:$BC$53,INDEX(T_Equipos[Grupo],MATCH(BD45,T_Equipos[NombreEquipo],0)))</f>
        <v>3</v>
      </c>
      <c r="CN45" s="9" t="str">
        <f>IF(COUNTIFS($CM$6:$CM$53,CM45,$BC$6:$BC$53,INDEX(T_Equipos[Grupo],MATCH(BD45,T_Equipos[NombreEquipo],0)))=1,"-","P."&amp;CM45&amp;" ("&amp;COUNTIFS($CM$6:$CM$53,CM45,$BC$6:$BC$53,INDEX(T_Equipos[Grupo],MATCH(BD45,T_Equipos[NombreEquipo],0)))&amp;")")</f>
        <v>P.3 (2)</v>
      </c>
      <c r="CO45" s="9">
        <f t="shared" si="40"/>
        <v>0</v>
      </c>
      <c r="CP45" s="9">
        <f t="shared" si="41"/>
        <v>0</v>
      </c>
      <c r="CQ45" s="9">
        <f t="shared" si="42"/>
        <v>0</v>
      </c>
      <c r="CR45" s="9">
        <f>CM45+COUNTIFS($CN$6:$CN$53,CN45,$CQ$6:CQ$53,"&gt;"&amp;CQ45,$BC$6:$BC$53,INDEX(T_Equipos[Grupo],MATCH(BD45,T_Equipos[NombreEquipo],0)))</f>
        <v>3</v>
      </c>
      <c r="CS45" s="9" t="str">
        <f>IF(COUNTIFS($CR$6:$CR$53,CR45,$BC$6:$BC$53,INDEX(T_Equipos[Grupo],MATCH(BD45,T_Equipos[NombreEquipo],0)))=1,"-","P."&amp;CR45&amp;" ("&amp;COUNTIFS($CR$6:$CR$53,CR45,$BC$6:$BC$53,INDEX(T_Equipos[Grupo],MATCH(BD45,T_Equipos[NombreEquipo],0)))&amp;")")</f>
        <v>P.3 (2)</v>
      </c>
      <c r="CT45" s="9">
        <f t="shared" si="43"/>
        <v>0</v>
      </c>
      <c r="CU45" s="9">
        <f>CR45+COUNTIFS($CS$6:$CS$53,CS45,$CT$6:CT$53,"&gt;"&amp;CT45,$BC$6:$BC$53,INDEX(T_Equipos[Grupo],MATCH(BD45,T_Equipos[NombreEquipo],0)))</f>
        <v>3</v>
      </c>
      <c r="CV45" s="9" t="str">
        <f>IF(COUNTIFS($CU$6:$CU$53,CU45,$BC$6:$BC$53,INDEX(T_Equipos[Grupo],MATCH(BD45,T_Equipos[NombreEquipo],0)))=1,"-","P."&amp;CU45&amp;" ("&amp;COUNTIFS($CU$6:$CU$53,CU45,$BC$6:$BC$53,INDEX(T_Equipos[Grupo],MATCH(BD45,T_Equipos[NombreEquipo],0)))&amp;")")</f>
        <v>P.3 (2)</v>
      </c>
      <c r="CW45" s="9">
        <f t="shared" si="44"/>
        <v>-3</v>
      </c>
      <c r="CX45" s="9">
        <f>CU45+COUNTIFS($CV$6:$CV$53,CV45,$CW$6:CW$53,"&gt;"&amp;CW45,$BC$6:$BC$53,INDEX(T_Equipos[Grupo],MATCH(BD45,T_Equipos[NombreEquipo],0)))</f>
        <v>3</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3</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3</v>
      </c>
      <c r="DE45" s="9"/>
      <c r="DF45" s="9">
        <f t="shared" si="46"/>
        <v>3</v>
      </c>
      <c r="DG45" s="9" t="str">
        <f>IF(DB45="-","-",COUNTIFS(DF$6:DF$53,"&lt;"&amp;DF45,$BC$6:$BC$53,INDEX(T_Equipos[Grupo],MATCH(BD45,T_Equipos[NombreEquipo],0))))</f>
        <v>-</v>
      </c>
      <c r="DH45" s="9">
        <f>DA45+COUNTIFS(DB$6:DB$53,DB45,DG$6:DG$53,"&lt;"&amp;DG45,$BC$6:$BC$53,INDEX(T_Equipos[Grupo],MATCH(BD45,T_Equipos[NombreEquipo],0)))</f>
        <v>3</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Algeria</v>
      </c>
    </row>
    <row r="46" spans="1:121" ht="16.149999999999999" customHeight="1">
      <c r="A46" s="8" t="str">
        <f>+Equipos!B23</f>
        <v>Japan</v>
      </c>
      <c r="D46" s="8" t="str">
        <f t="shared" si="116"/>
        <v>Local</v>
      </c>
      <c r="E46" s="8" t="str">
        <f t="shared" si="117"/>
        <v>-</v>
      </c>
      <c r="F46" s="8" t="str">
        <f t="shared" si="118"/>
        <v>-</v>
      </c>
      <c r="H46" s="8" t="str">
        <f t="shared" si="119"/>
        <v>-</v>
      </c>
      <c r="I46" s="8" t="str">
        <f t="shared" si="120"/>
        <v>-</v>
      </c>
      <c r="K46" s="8" t="str">
        <f t="shared" si="121"/>
        <v>-</v>
      </c>
      <c r="L46" s="8" t="str">
        <f t="shared" si="122"/>
        <v>-</v>
      </c>
      <c r="N46" s="8" t="str">
        <f t="shared" si="123"/>
        <v>-</v>
      </c>
      <c r="O46" s="8" t="str">
        <f t="shared" si="124"/>
        <v>-</v>
      </c>
      <c r="Q46" s="8" t="str">
        <f t="shared" si="125"/>
        <v>-</v>
      </c>
      <c r="R46" s="8" t="str">
        <f t="shared" si="126"/>
        <v>-</v>
      </c>
      <c r="T46" s="8" t="str">
        <f t="shared" si="127"/>
        <v>-</v>
      </c>
      <c r="U46" s="8" t="str">
        <f t="shared" si="128"/>
        <v>-</v>
      </c>
      <c r="V46" s="379"/>
      <c r="W46" s="607"/>
      <c r="X46" s="397">
        <f>Horarios!C46</f>
        <v>46193.541666666657</v>
      </c>
      <c r="Y46" s="398">
        <f>Horarios!C46</f>
        <v>46193.541666666657</v>
      </c>
      <c r="Z46" s="399" t="str">
        <f>$Z$6</f>
        <v>R2</v>
      </c>
      <c r="AA46" s="400" t="str">
        <f>A45</f>
        <v>Netherlands</v>
      </c>
      <c r="AB46" s="401" t="str">
        <f t="array" aca="1" ref="AB46" ca="1">Ver_flag_local</f>
        <v/>
      </c>
      <c r="AC46" s="15">
        <v>2</v>
      </c>
      <c r="AD46" s="16">
        <v>1</v>
      </c>
      <c r="AE46" s="402" t="str">
        <f t="array" aca="1" ref="AE46" ca="1">Ver_flag_visit</f>
        <v/>
      </c>
      <c r="AF46" s="403" t="str">
        <f>A47</f>
        <v>Sweden</v>
      </c>
      <c r="AG46" s="404">
        <f t="shared" si="129"/>
        <v>1</v>
      </c>
      <c r="AH46" s="405">
        <v>35</v>
      </c>
      <c r="AI46" s="406" t="str">
        <f>AJ46&amp;$B$44</f>
        <v>1F</v>
      </c>
      <c r="AJ46" s="419">
        <v>1</v>
      </c>
      <c r="AK46" s="473" t="str">
        <f t="array" aca="1" ref="AK46" ca="1">Ver_flag_visit</f>
        <v/>
      </c>
      <c r="AL46" s="421" t="str">
        <f>IFERROR(INDEX($BD$6:$BD$53,MATCH(AI46,$BN$6:$BN$53,0)),"")</f>
        <v>Netherlands</v>
      </c>
      <c r="AM46" s="422">
        <f t="shared" ref="AM46:AT49" si="131">INDEX($BE$6:$BN$53,MATCH($AL46,$BD$6:$BD$53,0),MATCH(AM$5,$BE$5:$BN$5,0))</f>
        <v>9</v>
      </c>
      <c r="AN46" s="423">
        <f t="shared" si="131"/>
        <v>3</v>
      </c>
      <c r="AO46" s="423">
        <f t="shared" si="131"/>
        <v>3</v>
      </c>
      <c r="AP46" s="423">
        <f t="shared" si="131"/>
        <v>0</v>
      </c>
      <c r="AQ46" s="423">
        <f t="shared" si="131"/>
        <v>0</v>
      </c>
      <c r="AR46" s="423">
        <f t="shared" si="131"/>
        <v>6</v>
      </c>
      <c r="AS46" s="423">
        <f t="shared" si="131"/>
        <v>2</v>
      </c>
      <c r="AT46" s="424">
        <f t="shared" si="131"/>
        <v>4</v>
      </c>
      <c r="AU46" s="425">
        <f>INDEX($DL$6:$DL$53,MATCH(AI46,$DP$6:$DP$53,0))</f>
        <v>1</v>
      </c>
      <c r="AV46" s="426" t="str">
        <f>INDEX($BD$6:$BD$53,MATCH(AI46,$BM$6:$BM$53,0))</f>
        <v>Netherlands</v>
      </c>
      <c r="AW46" s="579"/>
      <c r="AX46" s="428"/>
      <c r="AY46" s="429" t="str">
        <f>+A45</f>
        <v>Netherlands</v>
      </c>
      <c r="AZ46" s="430"/>
      <c r="BA46" s="378"/>
      <c r="BC46" s="9" t="str">
        <f>+INDEX(T_Equipos[Grupo],MATCH(WORLDCUP!BD46,T_Equipos[NombreEquipo],0))</f>
        <v>K</v>
      </c>
      <c r="BD46" s="9" t="str">
        <f>+Equipos!B42</f>
        <v>Portugal</v>
      </c>
      <c r="BE46" s="9">
        <f t="shared" si="16"/>
        <v>9</v>
      </c>
      <c r="BF46" s="9">
        <f t="shared" si="17"/>
        <v>3</v>
      </c>
      <c r="BG46" s="9">
        <f t="shared" si="18"/>
        <v>3</v>
      </c>
      <c r="BH46" s="9">
        <f t="shared" si="19"/>
        <v>0</v>
      </c>
      <c r="BI46" s="9">
        <f t="shared" si="20"/>
        <v>0</v>
      </c>
      <c r="BJ46" s="9">
        <f t="shared" si="21"/>
        <v>9</v>
      </c>
      <c r="BK46" s="9">
        <f t="shared" si="22"/>
        <v>0</v>
      </c>
      <c r="BL46" s="9">
        <f t="shared" si="23"/>
        <v>9</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9</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v>
      </c>
      <c r="BU46" s="9" t="str">
        <f t="shared" si="28"/>
        <v>-</v>
      </c>
      <c r="BV46" s="9" t="str">
        <f t="shared" si="29"/>
        <v>-</v>
      </c>
      <c r="BW46" s="9" t="str">
        <f t="shared" si="30"/>
        <v>-</v>
      </c>
      <c r="BX46" s="9" t="str">
        <f t="shared" si="31"/>
        <v>-</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v>
      </c>
      <c r="CA46" s="9" t="str">
        <f t="shared" si="32"/>
        <v>-</v>
      </c>
      <c r="CB46" s="9" t="str">
        <f t="shared" si="33"/>
        <v>-</v>
      </c>
      <c r="CC46" s="9" t="str">
        <f t="shared" si="34"/>
        <v>-</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v>
      </c>
      <c r="CF46" s="9" t="str">
        <f t="shared" si="35"/>
        <v>-</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v>
      </c>
      <c r="CI46" s="9" t="str">
        <f t="shared" si="36"/>
        <v>-</v>
      </c>
      <c r="CJ46" s="9" t="str">
        <f t="shared" si="37"/>
        <v>-</v>
      </c>
      <c r="CK46" s="9" t="str">
        <f t="shared" si="38"/>
        <v>-</v>
      </c>
      <c r="CL46" s="9" t="str">
        <f t="shared" si="39"/>
        <v>-</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v>
      </c>
      <c r="CO46" s="9" t="str">
        <f t="shared" si="40"/>
        <v>-</v>
      </c>
      <c r="CP46" s="9" t="str">
        <f t="shared" si="41"/>
        <v>-</v>
      </c>
      <c r="CQ46" s="9" t="str">
        <f t="shared" si="42"/>
        <v>-</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v>
      </c>
      <c r="CT46" s="9" t="str">
        <f t="shared" si="43"/>
        <v>-</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v>
      </c>
      <c r="CW46" s="9" t="str">
        <f t="shared" si="44"/>
        <v>-</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Portugal</v>
      </c>
    </row>
    <row r="47" spans="1:121" ht="16.149999999999999" customHeight="1">
      <c r="A47" s="8" t="str">
        <f>+Equipos!B24</f>
        <v>Sweden</v>
      </c>
      <c r="D47" s="8" t="str">
        <f t="shared" si="116"/>
        <v>Visitante</v>
      </c>
      <c r="E47" s="8" t="str">
        <f t="shared" si="117"/>
        <v>-</v>
      </c>
      <c r="F47" s="8" t="str">
        <f t="shared" si="118"/>
        <v>-</v>
      </c>
      <c r="H47" s="8" t="str">
        <f t="shared" si="119"/>
        <v>-</v>
      </c>
      <c r="I47" s="8" t="str">
        <f t="shared" si="120"/>
        <v>-</v>
      </c>
      <c r="K47" s="8" t="str">
        <f t="shared" si="121"/>
        <v>-</v>
      </c>
      <c r="L47" s="8" t="str">
        <f t="shared" si="122"/>
        <v>-</v>
      </c>
      <c r="N47" s="8" t="str">
        <f t="shared" si="123"/>
        <v>-</v>
      </c>
      <c r="O47" s="8" t="str">
        <f t="shared" si="124"/>
        <v>-</v>
      </c>
      <c r="Q47" s="8" t="str">
        <f t="shared" si="125"/>
        <v>-</v>
      </c>
      <c r="R47" s="8" t="str">
        <f t="shared" si="126"/>
        <v>-</v>
      </c>
      <c r="T47" s="8" t="str">
        <f t="shared" si="127"/>
        <v>-</v>
      </c>
      <c r="U47" s="8" t="str">
        <f t="shared" si="128"/>
        <v>-</v>
      </c>
      <c r="V47" s="379"/>
      <c r="W47" s="607"/>
      <c r="X47" s="397">
        <f>Horarios!C47</f>
        <v>46194</v>
      </c>
      <c r="Y47" s="398">
        <f>Horarios!C47</f>
        <v>46194</v>
      </c>
      <c r="Z47" s="399" t="str">
        <f>$Z$6</f>
        <v>R2</v>
      </c>
      <c r="AA47" s="400" t="str">
        <f>A48</f>
        <v>Tunisia</v>
      </c>
      <c r="AB47" s="401" t="str">
        <f t="array" aca="1" ref="AB47" ca="1">Ver_flag_local</f>
        <v/>
      </c>
      <c r="AC47" s="15">
        <v>0</v>
      </c>
      <c r="AD47" s="16">
        <v>2</v>
      </c>
      <c r="AE47" s="402" t="str">
        <f t="array" aca="1" ref="AE47" ca="1">Ver_flag_visit</f>
        <v/>
      </c>
      <c r="AF47" s="403" t="str">
        <f>A46</f>
        <v>Japan</v>
      </c>
      <c r="AG47" s="404">
        <f t="shared" si="129"/>
        <v>1</v>
      </c>
      <c r="AH47" s="405">
        <v>36</v>
      </c>
      <c r="AI47" s="406" t="str">
        <f>AJ47&amp;$B$44</f>
        <v>2F</v>
      </c>
      <c r="AJ47" s="431">
        <v>2</v>
      </c>
      <c r="AK47" s="476" t="str">
        <f t="array" aca="1" ref="AK47" ca="1">Ver_flag_visit</f>
        <v/>
      </c>
      <c r="AL47" s="433" t="str">
        <f>IFERROR(INDEX($BD$6:$BD$53,MATCH(AI47,$BN$6:$BN$53,0)),"")</f>
        <v>Sweden</v>
      </c>
      <c r="AM47" s="434">
        <f t="shared" si="131"/>
        <v>6</v>
      </c>
      <c r="AN47" s="435">
        <f t="shared" si="131"/>
        <v>3</v>
      </c>
      <c r="AO47" s="435">
        <f t="shared" si="131"/>
        <v>2</v>
      </c>
      <c r="AP47" s="435">
        <f t="shared" si="131"/>
        <v>0</v>
      </c>
      <c r="AQ47" s="435">
        <f t="shared" si="131"/>
        <v>1</v>
      </c>
      <c r="AR47" s="435">
        <f t="shared" si="131"/>
        <v>5</v>
      </c>
      <c r="AS47" s="435">
        <f t="shared" si="131"/>
        <v>2</v>
      </c>
      <c r="AT47" s="436">
        <f t="shared" si="131"/>
        <v>3</v>
      </c>
      <c r="AU47" s="425">
        <f>INDEX($DL$6:$DL$53,MATCH(AI47,$DP$6:$DP$53,0))</f>
        <v>1</v>
      </c>
      <c r="AV47" s="426" t="str">
        <f>INDEX($BD$6:$BD$53,MATCH(AI47,$BM$6:$BM$53,0))</f>
        <v>Sweden</v>
      </c>
      <c r="AW47" s="579"/>
      <c r="AX47" s="428"/>
      <c r="AY47" s="437" t="str">
        <f>+A46</f>
        <v>Japan</v>
      </c>
      <c r="AZ47" s="438"/>
      <c r="BA47" s="378"/>
      <c r="BC47" s="9" t="str">
        <f>+INDEX(T_Equipos[Grupo],MATCH(WORLDCUP!BD47,T_Equipos[NombreEquipo],0))</f>
        <v>K</v>
      </c>
      <c r="BD47" s="9" t="str">
        <f>+Equipos!B43</f>
        <v>DR Congo</v>
      </c>
      <c r="BE47" s="9">
        <f t="shared" si="16"/>
        <v>1</v>
      </c>
      <c r="BF47" s="9">
        <f t="shared" si="17"/>
        <v>3</v>
      </c>
      <c r="BG47" s="9">
        <f t="shared" si="18"/>
        <v>0</v>
      </c>
      <c r="BH47" s="9">
        <f t="shared" si="19"/>
        <v>1</v>
      </c>
      <c r="BI47" s="9">
        <f t="shared" si="20"/>
        <v>2</v>
      </c>
      <c r="BJ47" s="9">
        <f t="shared" si="21"/>
        <v>2</v>
      </c>
      <c r="BK47" s="9">
        <f t="shared" si="22"/>
        <v>6</v>
      </c>
      <c r="BL47" s="9">
        <f t="shared" si="23"/>
        <v>-4</v>
      </c>
      <c r="BM47" s="9" t="str">
        <f t="shared" si="24"/>
        <v>3K</v>
      </c>
      <c r="BN47" s="9" t="str">
        <f t="shared" si="25"/>
        <v>3K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1</v>
      </c>
      <c r="BS47" s="9">
        <f>BP47+COUNTIFS($BQ$6:$BQ$53,BQ47,$BR$6:BR$53,"&gt;"&amp;BR47,$BC$6:$BC$53,INDEX(T_Equipos[Grupo],MATCH(BD47,T_Equipos[NombreEquipo],0)))</f>
        <v>3</v>
      </c>
      <c r="BT47" s="9" t="str">
        <f>IF(COUNTIFS($BS$6:$BS$53,BS47,$BC$6:$BC$53,INDEX(T_Equipos[Grupo],MATCH(BD47,T_Equipos[NombreEquipo],0)))=1,"-","P."&amp;BS47&amp;" ("&amp;COUNTIFS($BS$6:$BS$53,BS47,$BC$6:$BC$53,INDEX(T_Equipos[Grupo],MATCH(BD47,T_Equipos[NombreEquipo],0)))&amp;")")</f>
        <v>P.3 (2)</v>
      </c>
      <c r="BU47" s="9">
        <f t="shared" si="28"/>
        <v>0</v>
      </c>
      <c r="BV47" s="9">
        <f t="shared" si="29"/>
        <v>1</v>
      </c>
      <c r="BW47" s="9">
        <f t="shared" si="30"/>
        <v>0</v>
      </c>
      <c r="BX47" s="9">
        <f t="shared" si="31"/>
        <v>1</v>
      </c>
      <c r="BY47" s="9">
        <f>BS47+COUNTIFS($BT$6:$BT$53,BT47,$BX$6:BX$53,"&gt;"&amp;BX47,$BC$6:$BC$53,INDEX(T_Equipos[Grupo],MATCH(BD47,T_Equipos[NombreEquipo],0)))</f>
        <v>3</v>
      </c>
      <c r="BZ47" s="9" t="str">
        <f>IF(COUNTIFS($BY$6:$BY$53,BY47,$BC$6:$BC$53,INDEX(T_Equipos[Grupo],MATCH(BD47,T_Equipos[NombreEquipo],0)))=1,"-","P."&amp;BY47&amp;" ("&amp;COUNTIFS($BY$6:$BY$53,BY47,$BC$6:$BC$53,INDEX(T_Equipos[Grupo],MATCH(BD47,T_Equipos[NombreEquipo],0)))&amp;")")</f>
        <v>P.3 (2)</v>
      </c>
      <c r="CA47" s="9">
        <f t="shared" si="32"/>
        <v>1</v>
      </c>
      <c r="CB47" s="9">
        <f t="shared" si="33"/>
        <v>1</v>
      </c>
      <c r="CC47" s="9">
        <f t="shared" si="34"/>
        <v>0</v>
      </c>
      <c r="CD47" s="9">
        <f>BY47+COUNTIFS($BZ$6:$BZ$53,BZ47,$CC$6:CC$53,"&gt;"&amp;CC47,$BC$6:$BC$53,INDEX(T_Equipos[Grupo],MATCH(BD47,T_Equipos[NombreEquipo],0)))</f>
        <v>3</v>
      </c>
      <c r="CE47" s="9" t="str">
        <f>IF(COUNTIFS($CD$6:$CD$53,CD47,$BC$6:$BC$53,INDEX(T_Equipos[Grupo],MATCH(BD47,T_Equipos[NombreEquipo],0)))=1,"-","P."&amp;CD47&amp;" ("&amp;COUNTIFS($CD$6:$CD$53,CD47,$BC$6:$BC$53,INDEX(T_Equipos[Grupo],MATCH(BD47,T_Equipos[NombreEquipo],0)))&amp;")")</f>
        <v>P.3 (2)</v>
      </c>
      <c r="CF47" s="9">
        <f t="shared" si="35"/>
        <v>1</v>
      </c>
      <c r="CG47" s="9">
        <f>CD47+COUNTIFS($CE$6:$CE$53,CE47,$CF$6:CF$53,"&gt;"&amp;CF47,$BC$6:$BC$53,INDEX(T_Equipos[Grupo],MATCH(BD47,T_Equipos[NombreEquipo],0)))</f>
        <v>3</v>
      </c>
      <c r="CH47" s="9" t="str">
        <f>IF(COUNTIFS($CG$6:$CG$53,CG47,$BC$6:$BC$53,INDEX(T_Equipos[Grupo],MATCH(BD47,T_Equipos[NombreEquipo],0)))=1,"-","P."&amp;CG47&amp;" ("&amp;COUNTIFS($CG$6:$CG$53,CG47,$BC$6:$BC$53,INDEX(T_Equipos[Grupo],MATCH(BD47,T_Equipos[NombreEquipo],0)))&amp;")")</f>
        <v>P.3 (2)</v>
      </c>
      <c r="CI47" s="9">
        <f t="shared" si="36"/>
        <v>0</v>
      </c>
      <c r="CJ47" s="9">
        <f t="shared" si="37"/>
        <v>1</v>
      </c>
      <c r="CK47" s="9">
        <f t="shared" si="38"/>
        <v>0</v>
      </c>
      <c r="CL47" s="9">
        <f t="shared" si="39"/>
        <v>1</v>
      </c>
      <c r="CM47" s="9">
        <f>CG47+COUNTIFS($CH$6:$CH$53,CH47,$CL$6:CL$53,"&gt;"&amp;CL47,$BC$6:$BC$53,INDEX(T_Equipos[Grupo],MATCH(BD47,T_Equipos[NombreEquipo],0)))</f>
        <v>3</v>
      </c>
      <c r="CN47" s="9" t="str">
        <f>IF(COUNTIFS($CM$6:$CM$53,CM47,$BC$6:$BC$53,INDEX(T_Equipos[Grupo],MATCH(BD47,T_Equipos[NombreEquipo],0)))=1,"-","P."&amp;CM47&amp;" ("&amp;COUNTIFS($CM$6:$CM$53,CM47,$BC$6:$BC$53,INDEX(T_Equipos[Grupo],MATCH(BD47,T_Equipos[NombreEquipo],0)))&amp;")")</f>
        <v>P.3 (2)</v>
      </c>
      <c r="CO47" s="9">
        <f t="shared" si="40"/>
        <v>1</v>
      </c>
      <c r="CP47" s="9">
        <f t="shared" si="41"/>
        <v>1</v>
      </c>
      <c r="CQ47" s="9">
        <f t="shared" si="42"/>
        <v>0</v>
      </c>
      <c r="CR47" s="9">
        <f>CM47+COUNTIFS($CN$6:$CN$53,CN47,$CQ$6:CQ$53,"&gt;"&amp;CQ47,$BC$6:$BC$53,INDEX(T_Equipos[Grupo],MATCH(BD47,T_Equipos[NombreEquipo],0)))</f>
        <v>3</v>
      </c>
      <c r="CS47" s="9" t="str">
        <f>IF(COUNTIFS($CR$6:$CR$53,CR47,$BC$6:$BC$53,INDEX(T_Equipos[Grupo],MATCH(BD47,T_Equipos[NombreEquipo],0)))=1,"-","P."&amp;CR47&amp;" ("&amp;COUNTIFS($CR$6:$CR$53,CR47,$BC$6:$BC$53,INDEX(T_Equipos[Grupo],MATCH(BD47,T_Equipos[NombreEquipo],0)))&amp;")")</f>
        <v>P.3 (2)</v>
      </c>
      <c r="CT47" s="9">
        <f t="shared" si="43"/>
        <v>1</v>
      </c>
      <c r="CU47" s="9">
        <f>CR47+COUNTIFS($CS$6:$CS$53,CS47,$CT$6:CT$53,"&gt;"&amp;CT47,$BC$6:$BC$53,INDEX(T_Equipos[Grupo],MATCH(BD47,T_Equipos[NombreEquipo],0)))</f>
        <v>3</v>
      </c>
      <c r="CV47" s="9" t="str">
        <f>IF(COUNTIFS($CU$6:$CU$53,CU47,$BC$6:$BC$53,INDEX(T_Equipos[Grupo],MATCH(BD47,T_Equipos[NombreEquipo],0)))=1,"-","P."&amp;CU47&amp;" ("&amp;COUNTIFS($CU$6:$CU$53,CU47,$BC$6:$BC$53,INDEX(T_Equipos[Grupo],MATCH(BD47,T_Equipos[NombreEquipo],0)))&amp;")")</f>
        <v>P.3 (2)</v>
      </c>
      <c r="CW47" s="9">
        <f t="shared" si="44"/>
        <v>-4</v>
      </c>
      <c r="CX47" s="9">
        <f>CU47+COUNTIFS($CV$6:$CV$53,CV47,$CW$6:CW$53,"&gt;"&amp;CW47,$BC$6:$BC$53,INDEX(T_Equipos[Grupo],MATCH(BD47,T_Equipos[NombreEquipo],0)))</f>
        <v>3</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3</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3</v>
      </c>
      <c r="DE47" s="9"/>
      <c r="DF47" s="9">
        <f t="shared" si="46"/>
        <v>3</v>
      </c>
      <c r="DG47" s="9" t="str">
        <f>IF(DB47="-","-",COUNTIFS(DF$6:DF$53,"&lt;"&amp;DF47,$BC$6:$BC$53,INDEX(T_Equipos[Grupo],MATCH(BD47,T_Equipos[NombreEquipo],0))))</f>
        <v>-</v>
      </c>
      <c r="DH47" s="9">
        <f>DA47+COUNTIFS(DB$6:DB$53,DB47,DG$6:DG$53,"&lt;"&amp;DG47,$BC$6:$BC$53,INDEX(T_Equipos[Grupo],MATCH(BD47,T_Equipos[NombreEquipo],0)))</f>
        <v>3</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Colombia</v>
      </c>
    </row>
    <row r="48" spans="1:121" ht="16.149999999999999" customHeight="1">
      <c r="A48" s="8" t="str">
        <f>+Equipos!B25</f>
        <v>Tunisia</v>
      </c>
      <c r="D48" s="8" t="str">
        <f t="shared" si="116"/>
        <v>Visitante</v>
      </c>
      <c r="E48" s="8" t="str">
        <f t="shared" si="117"/>
        <v>-</v>
      </c>
      <c r="F48" s="8" t="str">
        <f t="shared" si="118"/>
        <v>-</v>
      </c>
      <c r="H48" s="8" t="str">
        <f t="shared" si="119"/>
        <v>-</v>
      </c>
      <c r="I48" s="8" t="str">
        <f t="shared" si="120"/>
        <v>-</v>
      </c>
      <c r="K48" s="8" t="str">
        <f t="shared" si="121"/>
        <v>-</v>
      </c>
      <c r="L48" s="8" t="str">
        <f t="shared" si="122"/>
        <v>-</v>
      </c>
      <c r="N48" s="8" t="str">
        <f t="shared" si="123"/>
        <v>-</v>
      </c>
      <c r="O48" s="8" t="str">
        <f t="shared" si="124"/>
        <v>-</v>
      </c>
      <c r="Q48" s="8" t="str">
        <f t="shared" si="125"/>
        <v>-</v>
      </c>
      <c r="R48" s="8" t="str">
        <f t="shared" si="126"/>
        <v>-</v>
      </c>
      <c r="T48" s="8" t="str">
        <f t="shared" si="127"/>
        <v>-</v>
      </c>
      <c r="U48" s="8" t="str">
        <f t="shared" si="128"/>
        <v>-</v>
      </c>
      <c r="V48" s="379"/>
      <c r="W48" s="607"/>
      <c r="X48" s="397">
        <f>Horarios!C48</f>
        <v>46198.791666666657</v>
      </c>
      <c r="Y48" s="398">
        <f>Horarios!C48</f>
        <v>46198.791666666657</v>
      </c>
      <c r="Z48" s="399" t="str">
        <f>$Z$8</f>
        <v>R3</v>
      </c>
      <c r="AA48" s="400" t="str">
        <f>A46</f>
        <v>Japan</v>
      </c>
      <c r="AB48" s="401" t="str">
        <f t="array" aca="1" ref="AB48" ca="1">Ver_flag_local</f>
        <v/>
      </c>
      <c r="AC48" s="15">
        <v>0</v>
      </c>
      <c r="AD48" s="16">
        <v>2</v>
      </c>
      <c r="AE48" s="402" t="str">
        <f t="array" aca="1" ref="AE48" ca="1">Ver_flag_visit</f>
        <v/>
      </c>
      <c r="AF48" s="403" t="str">
        <f>A47</f>
        <v>Sweden</v>
      </c>
      <c r="AG48" s="404">
        <f t="shared" si="129"/>
        <v>1</v>
      </c>
      <c r="AH48" s="405">
        <v>57</v>
      </c>
      <c r="AI48" s="406" t="str">
        <f>AJ48&amp;$B$44</f>
        <v>3F</v>
      </c>
      <c r="AJ48" s="431">
        <v>3</v>
      </c>
      <c r="AK48" s="476" t="str">
        <f t="array" aca="1" ref="AK48" ca="1">Ver_flag_visit</f>
        <v/>
      </c>
      <c r="AL48" s="433" t="str">
        <f>IFERROR(INDEX($BD$6:$BD$53,MATCH(AI48,$BN$6:$BN$53,0)),"")</f>
        <v>Japan</v>
      </c>
      <c r="AM48" s="434">
        <f t="shared" si="131"/>
        <v>3</v>
      </c>
      <c r="AN48" s="435">
        <f t="shared" si="131"/>
        <v>3</v>
      </c>
      <c r="AO48" s="435">
        <f t="shared" si="131"/>
        <v>1</v>
      </c>
      <c r="AP48" s="435">
        <f t="shared" si="131"/>
        <v>0</v>
      </c>
      <c r="AQ48" s="435">
        <f t="shared" si="131"/>
        <v>2</v>
      </c>
      <c r="AR48" s="435">
        <f t="shared" si="131"/>
        <v>3</v>
      </c>
      <c r="AS48" s="435">
        <f t="shared" si="131"/>
        <v>4</v>
      </c>
      <c r="AT48" s="436">
        <f t="shared" si="131"/>
        <v>-1</v>
      </c>
      <c r="AU48" s="425">
        <f>INDEX($DL$6:$DL$53,MATCH(AI48,$DP$6:$DP$53,0))</f>
        <v>1</v>
      </c>
      <c r="AV48" s="426" t="str">
        <f>INDEX($BD$6:$BD$53,MATCH(AI48,$BM$6:$BM$53,0))</f>
        <v>Japan</v>
      </c>
      <c r="AW48" s="579"/>
      <c r="AX48" s="428"/>
      <c r="AY48" s="429" t="str">
        <f>+A47</f>
        <v>Sweden</v>
      </c>
      <c r="AZ48" s="430"/>
      <c r="BA48" s="378"/>
      <c r="BC48" s="9" t="str">
        <f>+INDEX(T_Equipos[Grupo],MATCH(WORLDCUP!BD48,T_Equipos[NombreEquipo],0))</f>
        <v>K</v>
      </c>
      <c r="BD48" s="9" t="str">
        <f>+Equipos!B44</f>
        <v>Uzbekistan</v>
      </c>
      <c r="BE48" s="9">
        <f t="shared" si="16"/>
        <v>1</v>
      </c>
      <c r="BF48" s="9">
        <f t="shared" si="17"/>
        <v>3</v>
      </c>
      <c r="BG48" s="9">
        <f t="shared" si="18"/>
        <v>0</v>
      </c>
      <c r="BH48" s="9">
        <f t="shared" si="19"/>
        <v>1</v>
      </c>
      <c r="BI48" s="9">
        <f t="shared" si="20"/>
        <v>2</v>
      </c>
      <c r="BJ48" s="9">
        <f t="shared" si="21"/>
        <v>2</v>
      </c>
      <c r="BK48" s="9">
        <f t="shared" si="22"/>
        <v>8</v>
      </c>
      <c r="BL48" s="9">
        <f t="shared" si="23"/>
        <v>-6</v>
      </c>
      <c r="BM48" s="9" t="str">
        <f t="shared" si="24"/>
        <v>4K</v>
      </c>
      <c r="BN48" s="9" t="str">
        <f t="shared" si="25"/>
        <v>4K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1</v>
      </c>
      <c r="BS48" s="9">
        <f>BP48+COUNTIFS($BQ$6:$BQ$53,BQ48,$BR$6:BR$53,"&gt;"&amp;BR48,$BC$6:$BC$53,INDEX(T_Equipos[Grupo],MATCH(BD48,T_Equipos[NombreEquipo],0)))</f>
        <v>3</v>
      </c>
      <c r="BT48" s="9" t="str">
        <f>IF(COUNTIFS($BS$6:$BS$53,BS48,$BC$6:$BC$53,INDEX(T_Equipos[Grupo],MATCH(BD48,T_Equipos[NombreEquipo],0)))=1,"-","P."&amp;BS48&amp;" ("&amp;COUNTIFS($BS$6:$BS$53,BS48,$BC$6:$BC$53,INDEX(T_Equipos[Grupo],MATCH(BD48,T_Equipos[NombreEquipo],0)))&amp;")")</f>
        <v>P.3 (2)</v>
      </c>
      <c r="BU48" s="9">
        <f t="shared" si="28"/>
        <v>0</v>
      </c>
      <c r="BV48" s="9">
        <f t="shared" si="29"/>
        <v>1</v>
      </c>
      <c r="BW48" s="9">
        <f t="shared" si="30"/>
        <v>0</v>
      </c>
      <c r="BX48" s="9">
        <f t="shared" si="31"/>
        <v>1</v>
      </c>
      <c r="BY48" s="9">
        <f>BS48+COUNTIFS($BT$6:$BT$53,BT48,$BX$6:BX$53,"&gt;"&amp;BX48,$BC$6:$BC$53,INDEX(T_Equipos[Grupo],MATCH(BD48,T_Equipos[NombreEquipo],0)))</f>
        <v>3</v>
      </c>
      <c r="BZ48" s="9" t="str">
        <f>IF(COUNTIFS($BY$6:$BY$53,BY48,$BC$6:$BC$53,INDEX(T_Equipos[Grupo],MATCH(BD48,T_Equipos[NombreEquipo],0)))=1,"-","P."&amp;BY48&amp;" ("&amp;COUNTIFS($BY$6:$BY$53,BY48,$BC$6:$BC$53,INDEX(T_Equipos[Grupo],MATCH(BD48,T_Equipos[NombreEquipo],0)))&amp;")")</f>
        <v>P.3 (2)</v>
      </c>
      <c r="CA48" s="9">
        <f t="shared" si="32"/>
        <v>1</v>
      </c>
      <c r="CB48" s="9">
        <f t="shared" si="33"/>
        <v>1</v>
      </c>
      <c r="CC48" s="9">
        <f t="shared" si="34"/>
        <v>0</v>
      </c>
      <c r="CD48" s="9">
        <f>BY48+COUNTIFS($BZ$6:$BZ$53,BZ48,$CC$6:CC$53,"&gt;"&amp;CC48,$BC$6:$BC$53,INDEX(T_Equipos[Grupo],MATCH(BD48,T_Equipos[NombreEquipo],0)))</f>
        <v>3</v>
      </c>
      <c r="CE48" s="9" t="str">
        <f>IF(COUNTIFS($CD$6:$CD$53,CD48,$BC$6:$BC$53,INDEX(T_Equipos[Grupo],MATCH(BD48,T_Equipos[NombreEquipo],0)))=1,"-","P."&amp;CD48&amp;" ("&amp;COUNTIFS($CD$6:$CD$53,CD48,$BC$6:$BC$53,INDEX(T_Equipos[Grupo],MATCH(BD48,T_Equipos[NombreEquipo],0)))&amp;")")</f>
        <v>P.3 (2)</v>
      </c>
      <c r="CF48" s="9">
        <f t="shared" si="35"/>
        <v>1</v>
      </c>
      <c r="CG48" s="9">
        <f>CD48+COUNTIFS($CE$6:$CE$53,CE48,$CF$6:CF$53,"&gt;"&amp;CF48,$BC$6:$BC$53,INDEX(T_Equipos[Grupo],MATCH(BD48,T_Equipos[NombreEquipo],0)))</f>
        <v>3</v>
      </c>
      <c r="CH48" s="9" t="str">
        <f>IF(COUNTIFS($CG$6:$CG$53,CG48,$BC$6:$BC$53,INDEX(T_Equipos[Grupo],MATCH(BD48,T_Equipos[NombreEquipo],0)))=1,"-","P."&amp;CG48&amp;" ("&amp;COUNTIFS($CG$6:$CG$53,CG48,$BC$6:$BC$53,INDEX(T_Equipos[Grupo],MATCH(BD48,T_Equipos[NombreEquipo],0)))&amp;")")</f>
        <v>P.3 (2)</v>
      </c>
      <c r="CI48" s="9">
        <f t="shared" si="36"/>
        <v>0</v>
      </c>
      <c r="CJ48" s="9">
        <f t="shared" si="37"/>
        <v>1</v>
      </c>
      <c r="CK48" s="9">
        <f t="shared" si="38"/>
        <v>0</v>
      </c>
      <c r="CL48" s="9">
        <f t="shared" si="39"/>
        <v>1</v>
      </c>
      <c r="CM48" s="9">
        <f>CG48+COUNTIFS($CH$6:$CH$53,CH48,$CL$6:CL$53,"&gt;"&amp;CL48,$BC$6:$BC$53,INDEX(T_Equipos[Grupo],MATCH(BD48,T_Equipos[NombreEquipo],0)))</f>
        <v>3</v>
      </c>
      <c r="CN48" s="9" t="str">
        <f>IF(COUNTIFS($CM$6:$CM$53,CM48,$BC$6:$BC$53,INDEX(T_Equipos[Grupo],MATCH(BD48,T_Equipos[NombreEquipo],0)))=1,"-","P."&amp;CM48&amp;" ("&amp;COUNTIFS($CM$6:$CM$53,CM48,$BC$6:$BC$53,INDEX(T_Equipos[Grupo],MATCH(BD48,T_Equipos[NombreEquipo],0)))&amp;")")</f>
        <v>P.3 (2)</v>
      </c>
      <c r="CO48" s="9">
        <f t="shared" si="40"/>
        <v>1</v>
      </c>
      <c r="CP48" s="9">
        <f t="shared" si="41"/>
        <v>1</v>
      </c>
      <c r="CQ48" s="9">
        <f t="shared" si="42"/>
        <v>0</v>
      </c>
      <c r="CR48" s="9">
        <f>CM48+COUNTIFS($CN$6:$CN$53,CN48,$CQ$6:CQ$53,"&gt;"&amp;CQ48,$BC$6:$BC$53,INDEX(T_Equipos[Grupo],MATCH(BD48,T_Equipos[NombreEquipo],0)))</f>
        <v>3</v>
      </c>
      <c r="CS48" s="9" t="str">
        <f>IF(COUNTIFS($CR$6:$CR$53,CR48,$BC$6:$BC$53,INDEX(T_Equipos[Grupo],MATCH(BD48,T_Equipos[NombreEquipo],0)))=1,"-","P."&amp;CR48&amp;" ("&amp;COUNTIFS($CR$6:$CR$53,CR48,$BC$6:$BC$53,INDEX(T_Equipos[Grupo],MATCH(BD48,T_Equipos[NombreEquipo],0)))&amp;")")</f>
        <v>P.3 (2)</v>
      </c>
      <c r="CT48" s="9">
        <f t="shared" si="43"/>
        <v>1</v>
      </c>
      <c r="CU48" s="9">
        <f>CR48+COUNTIFS($CS$6:$CS$53,CS48,$CT$6:CT$53,"&gt;"&amp;CT48,$BC$6:$BC$53,INDEX(T_Equipos[Grupo],MATCH(BD48,T_Equipos[NombreEquipo],0)))</f>
        <v>3</v>
      </c>
      <c r="CV48" s="9" t="str">
        <f>IF(COUNTIFS($CU$6:$CU$53,CU48,$BC$6:$BC$53,INDEX(T_Equipos[Grupo],MATCH(BD48,T_Equipos[NombreEquipo],0)))=1,"-","P."&amp;CU48&amp;" ("&amp;COUNTIFS($CU$6:$CU$53,CU48,$BC$6:$BC$53,INDEX(T_Equipos[Grupo],MATCH(BD48,T_Equipos[NombreEquipo],0)))&amp;")")</f>
        <v>P.3 (2)</v>
      </c>
      <c r="CW48" s="9">
        <f t="shared" si="44"/>
        <v>-6</v>
      </c>
      <c r="CX48" s="9">
        <f>CU48+COUNTIFS($CV$6:$CV$53,CV48,$CW$6:CW$53,"&gt;"&amp;CW48,$BC$6:$BC$53,INDEX(T_Equipos[Grupo],MATCH(BD48,T_Equipos[NombreEquipo],0)))</f>
        <v>4</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4</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4</v>
      </c>
      <c r="DE48" s="9"/>
      <c r="DF48" s="9">
        <f t="shared" si="46"/>
        <v>4</v>
      </c>
      <c r="DG48" s="9" t="str">
        <f>IF(DB48="-","-",COUNTIFS(DF$6:DF$53,"&lt;"&amp;DF48,$BC$6:$BC$53,INDEX(T_Equipos[Grupo],MATCH(BD48,T_Equipos[NombreEquipo],0))))</f>
        <v>-</v>
      </c>
      <c r="DH48" s="9">
        <f>DA48+COUNTIFS(DB$6:DB$53,DB48,DG$6:DG$53,"&lt;"&amp;DG48,$BC$6:$BC$53,INDEX(T_Equipos[Grupo],MATCH(BD48,T_Equipos[NombreEquipo],0)))</f>
        <v>4</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DR Congo</v>
      </c>
    </row>
    <row r="49" spans="1:121" ht="16.149999999999999" customHeight="1" thickBot="1">
      <c r="D49" s="8" t="str">
        <f t="shared" si="116"/>
        <v>Visitante</v>
      </c>
      <c r="E49" s="8" t="str">
        <f t="shared" si="117"/>
        <v>-</v>
      </c>
      <c r="F49" s="8" t="str">
        <f t="shared" si="118"/>
        <v>-</v>
      </c>
      <c r="H49" s="8" t="str">
        <f t="shared" si="119"/>
        <v>-</v>
      </c>
      <c r="I49" s="8" t="str">
        <f t="shared" si="120"/>
        <v>-</v>
      </c>
      <c r="K49" s="8" t="str">
        <f t="shared" si="121"/>
        <v>-</v>
      </c>
      <c r="L49" s="8" t="str">
        <f t="shared" si="122"/>
        <v>-</v>
      </c>
      <c r="N49" s="8" t="str">
        <f t="shared" si="123"/>
        <v>-</v>
      </c>
      <c r="O49" s="8" t="str">
        <f t="shared" si="124"/>
        <v>-</v>
      </c>
      <c r="Q49" s="8" t="str">
        <f t="shared" si="125"/>
        <v>-</v>
      </c>
      <c r="R49" s="8" t="str">
        <f t="shared" si="126"/>
        <v>-</v>
      </c>
      <c r="T49" s="8" t="str">
        <f t="shared" si="127"/>
        <v>-</v>
      </c>
      <c r="U49" s="8" t="str">
        <f t="shared" si="128"/>
        <v>-</v>
      </c>
      <c r="V49" s="379"/>
      <c r="W49" s="608"/>
      <c r="X49" s="439">
        <f>Horarios!C49</f>
        <v>46198.791666666657</v>
      </c>
      <c r="Y49" s="440">
        <f>Horarios!C49</f>
        <v>46198.791666666657</v>
      </c>
      <c r="Z49" s="441" t="str">
        <f>$Z$8</f>
        <v>R3</v>
      </c>
      <c r="AA49" s="442" t="str">
        <f>A48</f>
        <v>Tunisia</v>
      </c>
      <c r="AB49" s="443" t="str">
        <f t="array" aca="1" ref="AB49" ca="1">Ver_flag_local</f>
        <v/>
      </c>
      <c r="AC49" s="17">
        <v>0</v>
      </c>
      <c r="AD49" s="18">
        <v>2</v>
      </c>
      <c r="AE49" s="444" t="str">
        <f t="array" aca="1" ref="AE49" ca="1">Ver_flag_visit</f>
        <v/>
      </c>
      <c r="AF49" s="445" t="str">
        <f>A45</f>
        <v>Netherlands</v>
      </c>
      <c r="AG49" s="404">
        <f t="shared" si="129"/>
        <v>1</v>
      </c>
      <c r="AH49" s="405">
        <v>58</v>
      </c>
      <c r="AI49" s="406" t="str">
        <f>AJ49&amp;$B$44</f>
        <v>4F</v>
      </c>
      <c r="AJ49" s="446">
        <v>4</v>
      </c>
      <c r="AK49" s="485" t="str">
        <f t="array" aca="1" ref="AK49" ca="1">Ver_flag_visit</f>
        <v/>
      </c>
      <c r="AL49" s="448" t="str">
        <f>IFERROR(INDEX($BD$6:$BD$53,MATCH(AI49,$BN$6:$BN$53,0)),"")</f>
        <v>Tunisia</v>
      </c>
      <c r="AM49" s="449">
        <f t="shared" si="131"/>
        <v>0</v>
      </c>
      <c r="AN49" s="450">
        <f t="shared" si="131"/>
        <v>3</v>
      </c>
      <c r="AO49" s="450">
        <f t="shared" si="131"/>
        <v>0</v>
      </c>
      <c r="AP49" s="450">
        <f t="shared" si="131"/>
        <v>0</v>
      </c>
      <c r="AQ49" s="450">
        <f t="shared" si="131"/>
        <v>3</v>
      </c>
      <c r="AR49" s="450">
        <f t="shared" si="131"/>
        <v>0</v>
      </c>
      <c r="AS49" s="450">
        <f t="shared" si="131"/>
        <v>6</v>
      </c>
      <c r="AT49" s="451">
        <f t="shared" si="131"/>
        <v>-6</v>
      </c>
      <c r="AU49" s="425">
        <f>INDEX($DL$6:$DL$53,MATCH(AI49,$DP$6:$DP$53,0))</f>
        <v>1</v>
      </c>
      <c r="AV49" s="426" t="str">
        <f>INDEX($BD$6:$BD$53,MATCH(AI49,$BM$6:$BM$53,0))</f>
        <v>Tunisia</v>
      </c>
      <c r="AW49" s="579"/>
      <c r="AX49" s="428"/>
      <c r="AY49" s="452" t="str">
        <f>+A48</f>
        <v>Tunisia</v>
      </c>
      <c r="AZ49" s="453"/>
      <c r="BA49" s="378"/>
      <c r="BC49" s="9" t="str">
        <f>+INDEX(T_Equipos[Grupo],MATCH(WORLDCUP!BD49,T_Equipos[NombreEquipo],0))</f>
        <v>K</v>
      </c>
      <c r="BD49" s="9" t="str">
        <f>+Equipos!B45</f>
        <v>Colombia</v>
      </c>
      <c r="BE49" s="9">
        <f t="shared" si="16"/>
        <v>6</v>
      </c>
      <c r="BF49" s="9">
        <f t="shared" si="17"/>
        <v>3</v>
      </c>
      <c r="BG49" s="9">
        <f t="shared" si="18"/>
        <v>2</v>
      </c>
      <c r="BH49" s="9">
        <f t="shared" si="19"/>
        <v>0</v>
      </c>
      <c r="BI49" s="9">
        <f t="shared" si="20"/>
        <v>1</v>
      </c>
      <c r="BJ49" s="9">
        <f t="shared" si="21"/>
        <v>5</v>
      </c>
      <c r="BK49" s="9">
        <f t="shared" si="22"/>
        <v>4</v>
      </c>
      <c r="BL49" s="9">
        <f t="shared" si="23"/>
        <v>1</v>
      </c>
      <c r="BM49" s="9" t="str">
        <f t="shared" si="24"/>
        <v>2K</v>
      </c>
      <c r="BN49" s="9" t="str">
        <f t="shared" si="25"/>
        <v>2K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6</v>
      </c>
      <c r="BS49" s="9">
        <f>BP49+COUNTIFS($BQ$6:$BQ$53,BQ49,$BR$6:BR$53,"&gt;"&amp;BR49,$BC$6:$BC$53,INDEX(T_Equipos[Grupo],MATCH(BD49,T_Equipos[NombreEquipo],0)))</f>
        <v>2</v>
      </c>
      <c r="BT49" s="9" t="str">
        <f>IF(COUNTIFS($BS$6:$BS$53,BS49,$BC$6:$BC$53,INDEX(T_Equipos[Grupo],MATCH(BD49,T_Equipos[NombreEquipo],0)))=1,"-","P."&amp;BS49&amp;" ("&amp;COUNTIFS($BS$6:$BS$53,BS49,$BC$6:$BC$53,INDEX(T_Equipos[Grupo],MATCH(BD49,T_Equipos[NombreEquipo],0)))&amp;")")</f>
        <v>-</v>
      </c>
      <c r="BU49" s="9" t="str">
        <f t="shared" si="28"/>
        <v>-</v>
      </c>
      <c r="BV49" s="9" t="str">
        <f t="shared" si="29"/>
        <v>-</v>
      </c>
      <c r="BW49" s="9" t="str">
        <f t="shared" si="30"/>
        <v>-</v>
      </c>
      <c r="BX49" s="9" t="str">
        <f t="shared" si="31"/>
        <v>-</v>
      </c>
      <c r="BY49" s="9">
        <f>BS49+COUNTIFS($BT$6:$BT$53,BT49,$BX$6:BX$53,"&gt;"&amp;BX49,$BC$6:$BC$53,INDEX(T_Equipos[Grupo],MATCH(BD49,T_Equipos[NombreEquipo],0)))</f>
        <v>2</v>
      </c>
      <c r="BZ49" s="9" t="str">
        <f>IF(COUNTIFS($BY$6:$BY$53,BY49,$BC$6:$BC$53,INDEX(T_Equipos[Grupo],MATCH(BD49,T_Equipos[NombreEquipo],0)))=1,"-","P."&amp;BY49&amp;" ("&amp;COUNTIFS($BY$6:$BY$53,BY49,$BC$6:$BC$53,INDEX(T_Equipos[Grupo],MATCH(BD49,T_Equipos[NombreEquipo],0)))&amp;")")</f>
        <v>-</v>
      </c>
      <c r="CA49" s="9" t="str">
        <f t="shared" si="32"/>
        <v>-</v>
      </c>
      <c r="CB49" s="9" t="str">
        <f t="shared" si="33"/>
        <v>-</v>
      </c>
      <c r="CC49" s="9" t="str">
        <f t="shared" si="34"/>
        <v>-</v>
      </c>
      <c r="CD49" s="9">
        <f>BY49+COUNTIFS($BZ$6:$BZ$53,BZ49,$CC$6:CC$53,"&gt;"&amp;CC49,$BC$6:$BC$53,INDEX(T_Equipos[Grupo],MATCH(BD49,T_Equipos[NombreEquipo],0)))</f>
        <v>2</v>
      </c>
      <c r="CE49" s="9" t="str">
        <f>IF(COUNTIFS($CD$6:$CD$53,CD49,$BC$6:$BC$53,INDEX(T_Equipos[Grupo],MATCH(BD49,T_Equipos[NombreEquipo],0)))=1,"-","P."&amp;CD49&amp;" ("&amp;COUNTIFS($CD$6:$CD$53,CD49,$BC$6:$BC$53,INDEX(T_Equipos[Grupo],MATCH(BD49,T_Equipos[NombreEquipo],0)))&amp;")")</f>
        <v>-</v>
      </c>
      <c r="CF49" s="9" t="str">
        <f t="shared" si="35"/>
        <v>-</v>
      </c>
      <c r="CG49" s="9">
        <f>CD49+COUNTIFS($CE$6:$CE$53,CE49,$CF$6:CF$53,"&gt;"&amp;CF49,$BC$6:$BC$53,INDEX(T_Equipos[Grupo],MATCH(BD49,T_Equipos[NombreEquipo],0)))</f>
        <v>2</v>
      </c>
      <c r="CH49" s="9" t="str">
        <f>IF(COUNTIFS($CG$6:$CG$53,CG49,$BC$6:$BC$53,INDEX(T_Equipos[Grupo],MATCH(BD49,T_Equipos[NombreEquipo],0)))=1,"-","P."&amp;CG49&amp;" ("&amp;COUNTIFS($CG$6:$CG$53,CG49,$BC$6:$BC$53,INDEX(T_Equipos[Grupo],MATCH(BD49,T_Equipos[NombreEquipo],0)))&amp;")")</f>
        <v>-</v>
      </c>
      <c r="CI49" s="9" t="str">
        <f t="shared" si="36"/>
        <v>-</v>
      </c>
      <c r="CJ49" s="9" t="str">
        <f t="shared" si="37"/>
        <v>-</v>
      </c>
      <c r="CK49" s="9" t="str">
        <f t="shared" si="38"/>
        <v>-</v>
      </c>
      <c r="CL49" s="9" t="str">
        <f t="shared" si="39"/>
        <v>-</v>
      </c>
      <c r="CM49" s="9">
        <f>CG49+COUNTIFS($CH$6:$CH$53,CH49,$CL$6:CL$53,"&gt;"&amp;CL49,$BC$6:$BC$53,INDEX(T_Equipos[Grupo],MATCH(BD49,T_Equipos[NombreEquipo],0)))</f>
        <v>2</v>
      </c>
      <c r="CN49" s="9" t="str">
        <f>IF(COUNTIFS($CM$6:$CM$53,CM49,$BC$6:$BC$53,INDEX(T_Equipos[Grupo],MATCH(BD49,T_Equipos[NombreEquipo],0)))=1,"-","P."&amp;CM49&amp;" ("&amp;COUNTIFS($CM$6:$CM$53,CM49,$BC$6:$BC$53,INDEX(T_Equipos[Grupo],MATCH(BD49,T_Equipos[NombreEquipo],0)))&amp;")")</f>
        <v>-</v>
      </c>
      <c r="CO49" s="9" t="str">
        <f t="shared" si="40"/>
        <v>-</v>
      </c>
      <c r="CP49" s="9" t="str">
        <f t="shared" si="41"/>
        <v>-</v>
      </c>
      <c r="CQ49" s="9" t="str">
        <f t="shared" si="42"/>
        <v>-</v>
      </c>
      <c r="CR49" s="9">
        <f>CM49+COUNTIFS($CN$6:$CN$53,CN49,$CQ$6:CQ$53,"&gt;"&amp;CQ49,$BC$6:$BC$53,INDEX(T_Equipos[Grupo],MATCH(BD49,T_Equipos[NombreEquipo],0)))</f>
        <v>2</v>
      </c>
      <c r="CS49" s="9" t="str">
        <f>IF(COUNTIFS($CR$6:$CR$53,CR49,$BC$6:$BC$53,INDEX(T_Equipos[Grupo],MATCH(BD49,T_Equipos[NombreEquipo],0)))=1,"-","P."&amp;CR49&amp;" ("&amp;COUNTIFS($CR$6:$CR$53,CR49,$BC$6:$BC$53,INDEX(T_Equipos[Grupo],MATCH(BD49,T_Equipos[NombreEquipo],0)))&amp;")")</f>
        <v>-</v>
      </c>
      <c r="CT49" s="9" t="str">
        <f t="shared" si="43"/>
        <v>-</v>
      </c>
      <c r="CU49" s="9">
        <f>CR49+COUNTIFS($CS$6:$CS$53,CS49,$CT$6:CT$53,"&gt;"&amp;CT49,$BC$6:$BC$53,INDEX(T_Equipos[Grupo],MATCH(BD49,T_Equipos[NombreEquipo],0)))</f>
        <v>2</v>
      </c>
      <c r="CV49" s="9" t="str">
        <f>IF(COUNTIFS($CU$6:$CU$53,CU49,$BC$6:$BC$53,INDEX(T_Equipos[Grupo],MATCH(BD49,T_Equipos[NombreEquipo],0)))=1,"-","P."&amp;CU49&amp;" ("&amp;COUNTIFS($CU$6:$CU$53,CU49,$BC$6:$BC$53,INDEX(T_Equipos[Grupo],MATCH(BD49,T_Equipos[NombreEquipo],0)))&amp;")")</f>
        <v>-</v>
      </c>
      <c r="CW49" s="9" t="str">
        <f t="shared" si="44"/>
        <v>-</v>
      </c>
      <c r="CX49" s="9">
        <f>CU49+COUNTIFS($CV$6:$CV$53,CV49,$CW$6:CW$53,"&gt;"&amp;CW49,$BC$6:$BC$53,INDEX(T_Equipos[Grupo],MATCH(BD49,T_Equipos[NombreEquipo],0)))</f>
        <v>2</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2</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2</v>
      </c>
      <c r="DE49" s="9"/>
      <c r="DF49" s="9">
        <f t="shared" si="46"/>
        <v>2</v>
      </c>
      <c r="DG49" s="9" t="str">
        <f>IF(DB49="-","-",COUNTIFS(DF$6:DF$53,"&lt;"&amp;DF49,$BC$6:$BC$53,INDEX(T_Equipos[Grupo],MATCH(BD49,T_Equipos[NombreEquipo],0))))</f>
        <v>-</v>
      </c>
      <c r="DH49" s="9">
        <f>DA49+COUNTIFS(DB$6:DB$53,DB49,DG$6:DG$53,"&lt;"&amp;DG49,$BC$6:$BC$53,INDEX(T_Equipos[Grupo],MATCH(BD49,T_Equipos[NombreEquipo],0)))</f>
        <v>2</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Uzbekistan</v>
      </c>
    </row>
    <row r="50" spans="1:121" ht="16.149999999999999" customHeight="1" thickBot="1">
      <c r="V50" s="379"/>
      <c r="W50" s="454"/>
      <c r="X50" s="455"/>
      <c r="Y50" s="454"/>
      <c r="Z50" s="456"/>
      <c r="AA50" s="457"/>
      <c r="AB50" s="458"/>
      <c r="AC50" s="459"/>
      <c r="AD50" s="459"/>
      <c r="AE50" s="458"/>
      <c r="AF50" s="460"/>
      <c r="AG50" s="484"/>
      <c r="AH50" s="405"/>
      <c r="AI50" s="374"/>
      <c r="AJ50" s="461"/>
      <c r="AK50" s="462"/>
      <c r="AL50" s="395"/>
      <c r="AM50" s="463"/>
      <c r="AN50" s="461"/>
      <c r="AO50" s="461"/>
      <c r="AP50" s="461"/>
      <c r="AQ50" s="461"/>
      <c r="AR50" s="461"/>
      <c r="AS50" s="461"/>
      <c r="AT50" s="461"/>
      <c r="AU50" s="425"/>
      <c r="AV50" s="464"/>
      <c r="AW50" s="427"/>
      <c r="AX50" s="428"/>
      <c r="AY50" s="454"/>
      <c r="AZ50" s="455"/>
      <c r="BA50" s="378"/>
      <c r="BC50" s="9" t="str">
        <f>+INDEX(T_Equipos[Grupo],MATCH(WORLDCUP!BD50,T_Equipos[NombreEquipo],0))</f>
        <v>L</v>
      </c>
      <c r="BD50" s="9" t="str">
        <f>+Equipos!B46</f>
        <v>England</v>
      </c>
      <c r="BE50" s="9">
        <f t="shared" si="16"/>
        <v>7</v>
      </c>
      <c r="BF50" s="9">
        <f t="shared" si="17"/>
        <v>3</v>
      </c>
      <c r="BG50" s="9">
        <f t="shared" si="18"/>
        <v>2</v>
      </c>
      <c r="BH50" s="9">
        <f t="shared" si="19"/>
        <v>1</v>
      </c>
      <c r="BI50" s="9">
        <f t="shared" si="20"/>
        <v>0</v>
      </c>
      <c r="BJ50" s="9">
        <f t="shared" si="21"/>
        <v>7</v>
      </c>
      <c r="BK50" s="9">
        <f t="shared" si="22"/>
        <v>3</v>
      </c>
      <c r="BL50" s="9">
        <f t="shared" si="23"/>
        <v>4</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7</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P.1 (2)</v>
      </c>
      <c r="BU50" s="9">
        <f t="shared" si="28"/>
        <v>0</v>
      </c>
      <c r="BV50" s="9">
        <f t="shared" si="29"/>
        <v>1</v>
      </c>
      <c r="BW50" s="9">
        <f t="shared" si="30"/>
        <v>0</v>
      </c>
      <c r="BX50" s="9">
        <f t="shared" si="31"/>
        <v>1</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P.1 (2)</v>
      </c>
      <c r="CA50" s="9">
        <f t="shared" si="32"/>
        <v>2</v>
      </c>
      <c r="CB50" s="9">
        <f t="shared" si="33"/>
        <v>2</v>
      </c>
      <c r="CC50" s="9">
        <f t="shared" si="34"/>
        <v>0</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P.1 (2)</v>
      </c>
      <c r="CF50" s="9">
        <f t="shared" si="35"/>
        <v>2</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P.1 (2)</v>
      </c>
      <c r="CI50" s="9">
        <f t="shared" si="36"/>
        <v>0</v>
      </c>
      <c r="CJ50" s="9">
        <f t="shared" si="37"/>
        <v>1</v>
      </c>
      <c r="CK50" s="9">
        <f t="shared" si="38"/>
        <v>0</v>
      </c>
      <c r="CL50" s="9">
        <f t="shared" si="39"/>
        <v>1</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P.1 (2)</v>
      </c>
      <c r="CO50" s="9">
        <f t="shared" si="40"/>
        <v>2</v>
      </c>
      <c r="CP50" s="9">
        <f t="shared" si="41"/>
        <v>2</v>
      </c>
      <c r="CQ50" s="9">
        <f t="shared" si="42"/>
        <v>0</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P.1 (2)</v>
      </c>
      <c r="CT50" s="9">
        <f t="shared" si="43"/>
        <v>2</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P.1 (2)</v>
      </c>
      <c r="CW50" s="9">
        <f t="shared" si="44"/>
        <v>4</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79"/>
      <c r="W51" s="388"/>
      <c r="X51" s="389" t="str">
        <f>X3</f>
        <v>Date</v>
      </c>
      <c r="Y51" s="389" t="str">
        <f>Y3</f>
        <v>Hour</v>
      </c>
      <c r="Z51" s="390" t="str">
        <f>Z3</f>
        <v>R</v>
      </c>
      <c r="AA51" s="391" t="str">
        <f>AA3</f>
        <v>Home</v>
      </c>
      <c r="AB51" s="392"/>
      <c r="AC51" s="390" t="str">
        <f>AC3</f>
        <v>Goals</v>
      </c>
      <c r="AD51" s="390" t="str">
        <f>AD3</f>
        <v>Goals</v>
      </c>
      <c r="AE51" s="392"/>
      <c r="AF51" s="393" t="str">
        <f>AF3</f>
        <v>Away</v>
      </c>
      <c r="AG51" s="465"/>
      <c r="AH51" s="405"/>
      <c r="AI51" s="382"/>
      <c r="AJ51" s="395"/>
      <c r="AK51" s="466"/>
      <c r="AL51" s="395"/>
      <c r="AM51" s="395"/>
      <c r="AN51" s="395"/>
      <c r="AO51" s="395"/>
      <c r="AP51" s="395"/>
      <c r="AQ51" s="395"/>
      <c r="AR51" s="395"/>
      <c r="AS51" s="395"/>
      <c r="AT51" s="395"/>
      <c r="AU51" s="467"/>
      <c r="AV51" s="384"/>
      <c r="AW51" s="468"/>
      <c r="AX51" s="469"/>
      <c r="AY51" s="454"/>
      <c r="AZ51" s="455"/>
      <c r="BA51" s="378"/>
      <c r="BC51" s="9" t="str">
        <f>+INDEX(T_Equipos[Grupo],MATCH(WORLDCUP!BD51,T_Equipos[NombreEquipo],0))</f>
        <v>L</v>
      </c>
      <c r="BD51" s="9" t="str">
        <f>+Equipos!B47</f>
        <v>Croatia</v>
      </c>
      <c r="BE51" s="9">
        <f t="shared" si="16"/>
        <v>7</v>
      </c>
      <c r="BF51" s="9">
        <f t="shared" si="17"/>
        <v>3</v>
      </c>
      <c r="BG51" s="9">
        <f t="shared" si="18"/>
        <v>2</v>
      </c>
      <c r="BH51" s="9">
        <f t="shared" si="19"/>
        <v>1</v>
      </c>
      <c r="BI51" s="9">
        <f t="shared" si="20"/>
        <v>0</v>
      </c>
      <c r="BJ51" s="9">
        <f t="shared" si="21"/>
        <v>6</v>
      </c>
      <c r="BK51" s="9">
        <f t="shared" si="22"/>
        <v>3</v>
      </c>
      <c r="BL51" s="9">
        <f t="shared" si="23"/>
        <v>3</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7</v>
      </c>
      <c r="BS51" s="9">
        <f>BP51+COUNTIFS($BQ$6:$BQ$53,BQ51,$BR$6:BR$53,"&gt;"&amp;BR51,$BC$6:$BC$53,INDEX(T_Equipos[Grupo],MATCH(BD51,T_Equipos[NombreEquipo],0)))</f>
        <v>1</v>
      </c>
      <c r="BT51" s="9" t="str">
        <f>IF(COUNTIFS($BS$6:$BS$53,BS51,$BC$6:$BC$53,INDEX(T_Equipos[Grupo],MATCH(BD51,T_Equipos[NombreEquipo],0)))=1,"-","P."&amp;BS51&amp;" ("&amp;COUNTIFS($BS$6:$BS$53,BS51,$BC$6:$BC$53,INDEX(T_Equipos[Grupo],MATCH(BD51,T_Equipos[NombreEquipo],0)))&amp;")")</f>
        <v>P.1 (2)</v>
      </c>
      <c r="BU51" s="9">
        <f t="shared" si="28"/>
        <v>0</v>
      </c>
      <c r="BV51" s="9">
        <f t="shared" si="29"/>
        <v>1</v>
      </c>
      <c r="BW51" s="9">
        <f t="shared" si="30"/>
        <v>0</v>
      </c>
      <c r="BX51" s="9">
        <f t="shared" si="31"/>
        <v>1</v>
      </c>
      <c r="BY51" s="9">
        <f>BS51+COUNTIFS($BT$6:$BT$53,BT51,$BX$6:BX$53,"&gt;"&amp;BX51,$BC$6:$BC$53,INDEX(T_Equipos[Grupo],MATCH(BD51,T_Equipos[NombreEquipo],0)))</f>
        <v>1</v>
      </c>
      <c r="BZ51" s="9" t="str">
        <f>IF(COUNTIFS($BY$6:$BY$53,BY51,$BC$6:$BC$53,INDEX(T_Equipos[Grupo],MATCH(BD51,T_Equipos[NombreEquipo],0)))=1,"-","P."&amp;BY51&amp;" ("&amp;COUNTIFS($BY$6:$BY$53,BY51,$BC$6:$BC$53,INDEX(T_Equipos[Grupo],MATCH(BD51,T_Equipos[NombreEquipo],0)))&amp;")")</f>
        <v>P.1 (2)</v>
      </c>
      <c r="CA51" s="9">
        <f t="shared" si="32"/>
        <v>2</v>
      </c>
      <c r="CB51" s="9">
        <f t="shared" si="33"/>
        <v>2</v>
      </c>
      <c r="CC51" s="9">
        <f t="shared" si="34"/>
        <v>0</v>
      </c>
      <c r="CD51" s="9">
        <f>BY51+COUNTIFS($BZ$6:$BZ$53,BZ51,$CC$6:CC$53,"&gt;"&amp;CC51,$BC$6:$BC$53,INDEX(T_Equipos[Grupo],MATCH(BD51,T_Equipos[NombreEquipo],0)))</f>
        <v>1</v>
      </c>
      <c r="CE51" s="9" t="str">
        <f>IF(COUNTIFS($CD$6:$CD$53,CD51,$BC$6:$BC$53,INDEX(T_Equipos[Grupo],MATCH(BD51,T_Equipos[NombreEquipo],0)))=1,"-","P."&amp;CD51&amp;" ("&amp;COUNTIFS($CD$6:$CD$53,CD51,$BC$6:$BC$53,INDEX(T_Equipos[Grupo],MATCH(BD51,T_Equipos[NombreEquipo],0)))&amp;")")</f>
        <v>P.1 (2)</v>
      </c>
      <c r="CF51" s="9">
        <f t="shared" si="35"/>
        <v>2</v>
      </c>
      <c r="CG51" s="9">
        <f>CD51+COUNTIFS($CE$6:$CE$53,CE51,$CF$6:CF$53,"&gt;"&amp;CF51,$BC$6:$BC$53,INDEX(T_Equipos[Grupo],MATCH(BD51,T_Equipos[NombreEquipo],0)))</f>
        <v>1</v>
      </c>
      <c r="CH51" s="9" t="str">
        <f>IF(COUNTIFS($CG$6:$CG$53,CG51,$BC$6:$BC$53,INDEX(T_Equipos[Grupo],MATCH(BD51,T_Equipos[NombreEquipo],0)))=1,"-","P."&amp;CG51&amp;" ("&amp;COUNTIFS($CG$6:$CG$53,CG51,$BC$6:$BC$53,INDEX(T_Equipos[Grupo],MATCH(BD51,T_Equipos[NombreEquipo],0)))&amp;")")</f>
        <v>P.1 (2)</v>
      </c>
      <c r="CI51" s="9">
        <f t="shared" si="36"/>
        <v>0</v>
      </c>
      <c r="CJ51" s="9">
        <f t="shared" si="37"/>
        <v>1</v>
      </c>
      <c r="CK51" s="9">
        <f t="shared" si="38"/>
        <v>0</v>
      </c>
      <c r="CL51" s="9">
        <f t="shared" si="39"/>
        <v>1</v>
      </c>
      <c r="CM51" s="9">
        <f>CG51+COUNTIFS($CH$6:$CH$53,CH51,$CL$6:CL$53,"&gt;"&amp;CL51,$BC$6:$BC$53,INDEX(T_Equipos[Grupo],MATCH(BD51,T_Equipos[NombreEquipo],0)))</f>
        <v>1</v>
      </c>
      <c r="CN51" s="9" t="str">
        <f>IF(COUNTIFS($CM$6:$CM$53,CM51,$BC$6:$BC$53,INDEX(T_Equipos[Grupo],MATCH(BD51,T_Equipos[NombreEquipo],0)))=1,"-","P."&amp;CM51&amp;" ("&amp;COUNTIFS($CM$6:$CM$53,CM51,$BC$6:$BC$53,INDEX(T_Equipos[Grupo],MATCH(BD51,T_Equipos[NombreEquipo],0)))&amp;")")</f>
        <v>P.1 (2)</v>
      </c>
      <c r="CO51" s="9">
        <f t="shared" si="40"/>
        <v>2</v>
      </c>
      <c r="CP51" s="9">
        <f t="shared" si="41"/>
        <v>2</v>
      </c>
      <c r="CQ51" s="9">
        <f t="shared" si="42"/>
        <v>0</v>
      </c>
      <c r="CR51" s="9">
        <f>CM51+COUNTIFS($CN$6:$CN$53,CN51,$CQ$6:CQ$53,"&gt;"&amp;CQ51,$BC$6:$BC$53,INDEX(T_Equipos[Grupo],MATCH(BD51,T_Equipos[NombreEquipo],0)))</f>
        <v>1</v>
      </c>
      <c r="CS51" s="9" t="str">
        <f>IF(COUNTIFS($CR$6:$CR$53,CR51,$BC$6:$BC$53,INDEX(T_Equipos[Grupo],MATCH(BD51,T_Equipos[NombreEquipo],0)))=1,"-","P."&amp;CR51&amp;" ("&amp;COUNTIFS($CR$6:$CR$53,CR51,$BC$6:$BC$53,INDEX(T_Equipos[Grupo],MATCH(BD51,T_Equipos[NombreEquipo],0)))&amp;")")</f>
        <v>P.1 (2)</v>
      </c>
      <c r="CT51" s="9">
        <f t="shared" si="43"/>
        <v>2</v>
      </c>
      <c r="CU51" s="9">
        <f>CR51+COUNTIFS($CS$6:$CS$53,CS51,$CT$6:CT$53,"&gt;"&amp;CT51,$BC$6:$BC$53,INDEX(T_Equipos[Grupo],MATCH(BD51,T_Equipos[NombreEquipo],0)))</f>
        <v>1</v>
      </c>
      <c r="CV51" s="9" t="str">
        <f>IF(COUNTIFS($CU$6:$CU$53,CU51,$BC$6:$BC$53,INDEX(T_Equipos[Grupo],MATCH(BD51,T_Equipos[NombreEquipo],0)))=1,"-","P."&amp;CU51&amp;" ("&amp;COUNTIFS($CU$6:$CU$53,CU51,$BC$6:$BC$53,INDEX(T_Equipos[Grupo],MATCH(BD51,T_Equipos[NombreEquipo],0)))&amp;")")</f>
        <v>P.1 (2)</v>
      </c>
      <c r="CW51" s="9">
        <f t="shared" si="44"/>
        <v>3</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Croatia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v>
      </c>
      <c r="F52" s="8" t="str">
        <f t="shared" ref="F52:F57" si="134">IF(D52="Pendiente","-",INDEX($BT$6:$BT$53,MATCH($AF52,$BD$6:$BD$53,0)))</f>
        <v>P.3 (2)</v>
      </c>
      <c r="H52" s="8" t="str">
        <f t="shared" ref="H52:H57" si="135">IF(D52="Pendiente","-",INDEX($BZ$6:$BZ$53,MATCH($AA52,$BD$6:$BD$53,0)))</f>
        <v>-</v>
      </c>
      <c r="I52" s="8" t="str">
        <f t="shared" ref="I52:I57" si="136">IF(D52="Pendiente","-",INDEX($BZ$6:$BZ$53,MATCH($AF52,$BD$6:$BD$53,0)))</f>
        <v>P.3 (2)</v>
      </c>
      <c r="K52" s="8" t="str">
        <f t="shared" ref="K52:K57" si="137">IF(D52="Pendiente","-",INDEX($CE$6:$CE$53,MATCH($AA52,$BD$6:$BD$53,0)))</f>
        <v>-</v>
      </c>
      <c r="L52" s="8" t="str">
        <f t="shared" ref="L52:L57" si="138">IF(D52="Pendiente","-",INDEX($CE$6:$CE$53,MATCH($AF52,$BD$6:$BD$53,0)))</f>
        <v>P.3 (2)</v>
      </c>
      <c r="N52" s="8" t="str">
        <f t="shared" ref="N52:N57" si="139">IF(D52="Pendiente","-",INDEX($CH$6:$CH$53,MATCH($AA52,$BD$6:$BD$53,0)))</f>
        <v>-</v>
      </c>
      <c r="O52" s="8" t="str">
        <f t="shared" ref="O52:O57" si="140">IF(D52="Pendiente","-",INDEX($CH$6:$CH$53,MATCH($AF52,$BD$6:$BD$53,0)))</f>
        <v>P.3 (2)</v>
      </c>
      <c r="Q52" s="8" t="str">
        <f t="shared" ref="Q52:Q57" si="141">IF(D52="Pendiente","-",INDEX($CN$6:$CN$53,MATCH($AA52,$BD$6:$BD$53,0)))</f>
        <v>-</v>
      </c>
      <c r="R52" s="8" t="str">
        <f t="shared" ref="R52:R57" si="142">IF(D52="Pendiente","-",INDEX($CN$6:$CN$53,MATCH($AF52,$BD$6:$BD$53,0)))</f>
        <v>P.3 (2)</v>
      </c>
      <c r="T52" s="8" t="str">
        <f t="shared" ref="T52:T57" si="143">IF(D52="Pendiente","-",INDEX($CS$6:$CS$53,MATCH($AA52,$BD$6:$BD$53,0)))</f>
        <v>-</v>
      </c>
      <c r="U52" s="8" t="str">
        <f t="shared" ref="U52:U57" si="144">IF(D52="Pendiente","-",INDEX($CS$6:$CS$53,MATCH($AF52,$BD$6:$BD$53,0)))</f>
        <v>P.3 (2)</v>
      </c>
      <c r="V52" s="379"/>
      <c r="W52" s="619" t="s">
        <v>125</v>
      </c>
      <c r="X52" s="397">
        <f>Horarios!C52</f>
        <v>46188.625</v>
      </c>
      <c r="Y52" s="398">
        <f>Horarios!C52</f>
        <v>46188.625</v>
      </c>
      <c r="Z52" s="399" t="str">
        <f>$Z$4</f>
        <v>R1</v>
      </c>
      <c r="AA52" s="400" t="str">
        <f>A53</f>
        <v>Belgium</v>
      </c>
      <c r="AB52" s="401" t="str">
        <f t="array" aca="1" ref="AB52" ca="1">Ver_flag_local</f>
        <v/>
      </c>
      <c r="AC52" s="15">
        <v>2</v>
      </c>
      <c r="AD52" s="16">
        <v>0</v>
      </c>
      <c r="AE52" s="402" t="str">
        <f t="array" aca="1" ref="AE52" ca="1">Ver_flag_visit</f>
        <v/>
      </c>
      <c r="AF52" s="403" t="str">
        <f>A54</f>
        <v>Egypt</v>
      </c>
      <c r="AG52" s="404">
        <f t="shared" ref="AG52:AG57" si="145">IF(NOT(OR(ISBLANK(AC52),ISBLANK(AD52))),1,0)</f>
        <v>1</v>
      </c>
      <c r="AH52" s="405">
        <v>16</v>
      </c>
      <c r="AI52" s="406"/>
      <c r="AJ52" s="407" t="str">
        <f>CONCATENATE($AJ$3," ",B52)</f>
        <v>Group G</v>
      </c>
      <c r="AK52" s="408"/>
      <c r="AL52" s="408"/>
      <c r="AM52" s="408"/>
      <c r="AN52" s="408"/>
      <c r="AO52" s="408"/>
      <c r="AP52" s="408"/>
      <c r="AQ52" s="408"/>
      <c r="AR52" s="408"/>
      <c r="AS52" s="408"/>
      <c r="AT52" s="409"/>
      <c r="AU52" s="467"/>
      <c r="AV52" s="410" t="str">
        <f>IF(AU53&gt;0,$AV$3,"")</f>
        <v>IT'S A TIE! Choose the order of the countries to determine their rankings.</v>
      </c>
      <c r="AW52" s="471"/>
      <c r="AX52" s="471"/>
      <c r="AY52" s="454"/>
      <c r="AZ52" s="455"/>
      <c r="BA52" s="378"/>
      <c r="BC52" s="9" t="str">
        <f>+INDEX(T_Equipos[Grupo],MATCH(WORLDCUP!BD52,T_Equipos[NombreEquipo],0))</f>
        <v>L</v>
      </c>
      <c r="BD52" s="9" t="str">
        <f>+Equipos!B48</f>
        <v>Ghana</v>
      </c>
      <c r="BE52" s="9">
        <f t="shared" si="16"/>
        <v>3</v>
      </c>
      <c r="BF52" s="9">
        <f t="shared" si="17"/>
        <v>3</v>
      </c>
      <c r="BG52" s="9">
        <f t="shared" si="18"/>
        <v>1</v>
      </c>
      <c r="BH52" s="9">
        <f t="shared" si="19"/>
        <v>0</v>
      </c>
      <c r="BI52" s="9">
        <f t="shared" si="20"/>
        <v>2</v>
      </c>
      <c r="BJ52" s="9">
        <f t="shared" si="21"/>
        <v>4</v>
      </c>
      <c r="BK52" s="9">
        <f t="shared" si="22"/>
        <v>4</v>
      </c>
      <c r="BL52" s="9">
        <f t="shared" si="23"/>
        <v>0</v>
      </c>
      <c r="BM52" s="9" t="str">
        <f t="shared" si="24"/>
        <v>3L</v>
      </c>
      <c r="BN52" s="9" t="str">
        <f t="shared" si="25"/>
        <v>3L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3</v>
      </c>
      <c r="BS52" s="9">
        <f>BP52+COUNTIFS($BQ$6:$BQ$53,BQ52,$BR$6:BR$53,"&gt;"&amp;BR52,$BC$6:$BC$53,INDEX(T_Equipos[Grupo],MATCH(BD52,T_Equipos[NombreEquipo],0)))</f>
        <v>3</v>
      </c>
      <c r="BT52" s="9" t="str">
        <f>IF(COUNTIFS($BS$6:$BS$53,BS52,$BC$6:$BC$53,INDEX(T_Equipos[Grupo],MATCH(BD52,T_Equipos[NombreEquipo],0)))=1,"-","P."&amp;BS52&amp;" ("&amp;COUNTIFS($BS$6:$BS$53,BS52,$BC$6:$BC$53,INDEX(T_Equipos[Grupo],MATCH(BD52,T_Equipos[NombreEquipo],0)))&amp;")")</f>
        <v>-</v>
      </c>
      <c r="BU52" s="9" t="str">
        <f t="shared" si="28"/>
        <v>-</v>
      </c>
      <c r="BV52" s="9" t="str">
        <f t="shared" si="29"/>
        <v>-</v>
      </c>
      <c r="BW52" s="9" t="str">
        <f t="shared" si="30"/>
        <v>-</v>
      </c>
      <c r="BX52" s="9" t="str">
        <f t="shared" si="31"/>
        <v>-</v>
      </c>
      <c r="BY52" s="9">
        <f>BS52+COUNTIFS($BT$6:$BT$53,BT52,$BX$6:BX$53,"&gt;"&amp;BX52,$BC$6:$BC$53,INDEX(T_Equipos[Grupo],MATCH(BD52,T_Equipos[NombreEquipo],0)))</f>
        <v>3</v>
      </c>
      <c r="BZ52" s="9" t="str">
        <f>IF(COUNTIFS($BY$6:$BY$53,BY52,$BC$6:$BC$53,INDEX(T_Equipos[Grupo],MATCH(BD52,T_Equipos[NombreEquipo],0)))=1,"-","P."&amp;BY52&amp;" ("&amp;COUNTIFS($BY$6:$BY$53,BY52,$BC$6:$BC$53,INDEX(T_Equipos[Grupo],MATCH(BD52,T_Equipos[NombreEquipo],0)))&amp;")")</f>
        <v>-</v>
      </c>
      <c r="CA52" s="9" t="str">
        <f t="shared" si="32"/>
        <v>-</v>
      </c>
      <c r="CB52" s="9" t="str">
        <f t="shared" si="33"/>
        <v>-</v>
      </c>
      <c r="CC52" s="9" t="str">
        <f t="shared" si="34"/>
        <v>-</v>
      </c>
      <c r="CD52" s="9">
        <f>BY52+COUNTIFS($BZ$6:$BZ$53,BZ52,$CC$6:CC$53,"&gt;"&amp;CC52,$BC$6:$BC$53,INDEX(T_Equipos[Grupo],MATCH(BD52,T_Equipos[NombreEquipo],0)))</f>
        <v>3</v>
      </c>
      <c r="CE52" s="9" t="str">
        <f>IF(COUNTIFS($CD$6:$CD$53,CD52,$BC$6:$BC$53,INDEX(T_Equipos[Grupo],MATCH(BD52,T_Equipos[NombreEquipo],0)))=1,"-","P."&amp;CD52&amp;" ("&amp;COUNTIFS($CD$6:$CD$53,CD52,$BC$6:$BC$53,INDEX(T_Equipos[Grupo],MATCH(BD52,T_Equipos[NombreEquipo],0)))&amp;")")</f>
        <v>-</v>
      </c>
      <c r="CF52" s="9" t="str">
        <f t="shared" si="35"/>
        <v>-</v>
      </c>
      <c r="CG52" s="9">
        <f>CD52+COUNTIFS($CE$6:$CE$53,CE52,$CF$6:CF$53,"&gt;"&amp;CF52,$BC$6:$BC$53,INDEX(T_Equipos[Grupo],MATCH(BD52,T_Equipos[NombreEquipo],0)))</f>
        <v>3</v>
      </c>
      <c r="CH52" s="9" t="str">
        <f>IF(COUNTIFS($CG$6:$CG$53,CG52,$BC$6:$BC$53,INDEX(T_Equipos[Grupo],MATCH(BD52,T_Equipos[NombreEquipo],0)))=1,"-","P."&amp;CG52&amp;" ("&amp;COUNTIFS($CG$6:$CG$53,CG52,$BC$6:$BC$53,INDEX(T_Equipos[Grupo],MATCH(BD52,T_Equipos[NombreEquipo],0)))&amp;")")</f>
        <v>-</v>
      </c>
      <c r="CI52" s="9" t="str">
        <f t="shared" si="36"/>
        <v>-</v>
      </c>
      <c r="CJ52" s="9" t="str">
        <f t="shared" si="37"/>
        <v>-</v>
      </c>
      <c r="CK52" s="9" t="str">
        <f t="shared" si="38"/>
        <v>-</v>
      </c>
      <c r="CL52" s="9" t="str">
        <f t="shared" si="39"/>
        <v>-</v>
      </c>
      <c r="CM52" s="9">
        <f>CG52+COUNTIFS($CH$6:$CH$53,CH52,$CL$6:CL$53,"&gt;"&amp;CL52,$BC$6:$BC$53,INDEX(T_Equipos[Grupo],MATCH(BD52,T_Equipos[NombreEquipo],0)))</f>
        <v>3</v>
      </c>
      <c r="CN52" s="9" t="str">
        <f>IF(COUNTIFS($CM$6:$CM$53,CM52,$BC$6:$BC$53,INDEX(T_Equipos[Grupo],MATCH(BD52,T_Equipos[NombreEquipo],0)))=1,"-","P."&amp;CM52&amp;" ("&amp;COUNTIFS($CM$6:$CM$53,CM52,$BC$6:$BC$53,INDEX(T_Equipos[Grupo],MATCH(BD52,T_Equipos[NombreEquipo],0)))&amp;")")</f>
        <v>-</v>
      </c>
      <c r="CO52" s="9" t="str">
        <f t="shared" si="40"/>
        <v>-</v>
      </c>
      <c r="CP52" s="9" t="str">
        <f t="shared" si="41"/>
        <v>-</v>
      </c>
      <c r="CQ52" s="9" t="str">
        <f t="shared" si="42"/>
        <v>-</v>
      </c>
      <c r="CR52" s="9">
        <f>CM52+COUNTIFS($CN$6:$CN$53,CN52,$CQ$6:CQ$53,"&gt;"&amp;CQ52,$BC$6:$BC$53,INDEX(T_Equipos[Grupo],MATCH(BD52,T_Equipos[NombreEquipo],0)))</f>
        <v>3</v>
      </c>
      <c r="CS52" s="9" t="str">
        <f>IF(COUNTIFS($CR$6:$CR$53,CR52,$BC$6:$BC$53,INDEX(T_Equipos[Grupo],MATCH(BD52,T_Equipos[NombreEquipo],0)))=1,"-","P."&amp;CR52&amp;" ("&amp;COUNTIFS($CR$6:$CR$53,CR52,$BC$6:$BC$53,INDEX(T_Equipos[Grupo],MATCH(BD52,T_Equipos[NombreEquipo],0)))&amp;")")</f>
        <v>-</v>
      </c>
      <c r="CT52" s="9" t="str">
        <f t="shared" si="43"/>
        <v>-</v>
      </c>
      <c r="CU52" s="9">
        <f>CR52+COUNTIFS($CS$6:$CS$53,CS52,$CT$6:CT$53,"&gt;"&amp;CT52,$BC$6:$BC$53,INDEX(T_Equipos[Grupo],MATCH(BD52,T_Equipos[NombreEquipo],0)))</f>
        <v>3</v>
      </c>
      <c r="CV52" s="9" t="str">
        <f>IF(COUNTIFS($CU$6:$CU$53,CU52,$BC$6:$BC$53,INDEX(T_Equipos[Grupo],MATCH(BD52,T_Equipos[NombreEquipo],0)))=1,"-","P."&amp;CU52&amp;" ("&amp;COUNTIFS($CU$6:$CU$53,CU52,$BC$6:$BC$53,INDEX(T_Equipos[Grupo],MATCH(BD52,T_Equipos[NombreEquipo],0)))&amp;")")</f>
        <v>-</v>
      </c>
      <c r="CW52" s="9" t="str">
        <f t="shared" si="44"/>
        <v>-</v>
      </c>
      <c r="CX52" s="9">
        <f>CU52+COUNTIFS($CV$6:$CV$53,CV52,$CW$6:CW$53,"&gt;"&amp;CW52,$BC$6:$BC$53,INDEX(T_Equipos[Grupo],MATCH(BD52,T_Equipos[NombreEquipo],0)))</f>
        <v>3</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3</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3</v>
      </c>
      <c r="DE52" s="9"/>
      <c r="DF52" s="9">
        <f t="shared" si="46"/>
        <v>3</v>
      </c>
      <c r="DG52" s="9" t="str">
        <f>IF(DB52="-","-",COUNTIFS(DF$6:DF$53,"&lt;"&amp;DF52,$BC$6:$BC$53,INDEX(T_Equipos[Grupo],MATCH(BD52,T_Equipos[NombreEquipo],0))))</f>
        <v>-</v>
      </c>
      <c r="DH52" s="9">
        <f>DA52+COUNTIFS(DB$6:DB$53,DB52,DG$6:DG$53,"&lt;"&amp;DG52,$BC$6:$BC$53,INDEX(T_Equipos[Grupo],MATCH(BD52,T_Equipos[NombreEquipo],0)))</f>
        <v>3</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Ghana</v>
      </c>
    </row>
    <row r="53" spans="1:121" ht="16.149999999999999" customHeight="1">
      <c r="A53" s="8" t="str">
        <f>+Equipos!B26</f>
        <v>Belgium</v>
      </c>
      <c r="D53" s="8" t="str">
        <f t="shared" si="132"/>
        <v>Local</v>
      </c>
      <c r="E53" s="8" t="str">
        <f t="shared" si="133"/>
        <v>-</v>
      </c>
      <c r="F53" s="8" t="str">
        <f t="shared" si="134"/>
        <v>P.3 (2)</v>
      </c>
      <c r="H53" s="8" t="str">
        <f t="shared" si="135"/>
        <v>-</v>
      </c>
      <c r="I53" s="8" t="str">
        <f t="shared" si="136"/>
        <v>P.3 (2)</v>
      </c>
      <c r="K53" s="8" t="str">
        <f t="shared" si="137"/>
        <v>-</v>
      </c>
      <c r="L53" s="8" t="str">
        <f t="shared" si="138"/>
        <v>P.3 (2)</v>
      </c>
      <c r="N53" s="8" t="str">
        <f t="shared" si="139"/>
        <v>-</v>
      </c>
      <c r="O53" s="8" t="str">
        <f t="shared" si="140"/>
        <v>P.3 (2)</v>
      </c>
      <c r="Q53" s="8" t="str">
        <f t="shared" si="141"/>
        <v>-</v>
      </c>
      <c r="R53" s="8" t="str">
        <f t="shared" si="142"/>
        <v>P.3 (2)</v>
      </c>
      <c r="T53" s="8" t="str">
        <f t="shared" si="143"/>
        <v>-</v>
      </c>
      <c r="U53" s="8" t="str">
        <f t="shared" si="144"/>
        <v>P.3 (2)</v>
      </c>
      <c r="V53" s="379"/>
      <c r="W53" s="607"/>
      <c r="X53" s="397">
        <f>Horarios!C53</f>
        <v>46188.875</v>
      </c>
      <c r="Y53" s="398">
        <f>Horarios!C53</f>
        <v>46188.875</v>
      </c>
      <c r="Z53" s="399" t="str">
        <f>$Z$4</f>
        <v>R1</v>
      </c>
      <c r="AA53" s="400" t="str">
        <f>A55</f>
        <v>Iran</v>
      </c>
      <c r="AB53" s="401" t="str">
        <f t="array" aca="1" ref="AB53" ca="1">Ver_flag_local</f>
        <v/>
      </c>
      <c r="AC53" s="15">
        <v>1</v>
      </c>
      <c r="AD53" s="16">
        <v>0</v>
      </c>
      <c r="AE53" s="402" t="str">
        <f t="array" aca="1" ref="AE53" ca="1">Ver_flag_visit</f>
        <v/>
      </c>
      <c r="AF53" s="403" t="str">
        <f>A56</f>
        <v>New Zealand</v>
      </c>
      <c r="AG53" s="404">
        <f t="shared" si="145"/>
        <v>1</v>
      </c>
      <c r="AH53" s="405">
        <v>15</v>
      </c>
      <c r="AI53" s="406"/>
      <c r="AJ53" s="412" t="str">
        <f>AJ5</f>
        <v>Pos</v>
      </c>
      <c r="AK53" s="413"/>
      <c r="AL53" s="414" t="str">
        <f t="shared" ref="AL53:AT53" si="146">AL5</f>
        <v>Nation</v>
      </c>
      <c r="AM53" s="413" t="str">
        <f t="shared" si="146"/>
        <v>Pts</v>
      </c>
      <c r="AN53" s="413" t="str">
        <f t="shared" si="146"/>
        <v>P</v>
      </c>
      <c r="AO53" s="413" t="str">
        <f t="shared" si="146"/>
        <v>W</v>
      </c>
      <c r="AP53" s="413" t="str">
        <f t="shared" si="146"/>
        <v>D</v>
      </c>
      <c r="AQ53" s="413" t="str">
        <f t="shared" si="146"/>
        <v>L</v>
      </c>
      <c r="AR53" s="413" t="str">
        <f t="shared" si="146"/>
        <v>F</v>
      </c>
      <c r="AS53" s="413" t="str">
        <f t="shared" si="146"/>
        <v>A</v>
      </c>
      <c r="AT53" s="415" t="str">
        <f t="shared" si="146"/>
        <v>GD</v>
      </c>
      <c r="AU53" s="467">
        <f>COUNTIF(AU54:AU57,"&gt;1")</f>
        <v>2</v>
      </c>
      <c r="AV53" s="416"/>
      <c r="AW53" s="471"/>
      <c r="AX53" s="471"/>
      <c r="AY53" s="417" t="str">
        <f>AL53</f>
        <v>Nation</v>
      </c>
      <c r="AZ53" s="418" t="str">
        <f>+Idiomas!$D$67</f>
        <v>Deducted Points</v>
      </c>
      <c r="BA53" s="378"/>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0</v>
      </c>
      <c r="BK53" s="9">
        <f t="shared" si="22"/>
        <v>7</v>
      </c>
      <c r="BL53" s="9">
        <f t="shared" si="23"/>
        <v>-7</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Local</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79"/>
      <c r="W54" s="607"/>
      <c r="X54" s="397">
        <f>Horarios!C54</f>
        <v>46194.625</v>
      </c>
      <c r="Y54" s="398">
        <f>Horarios!C54</f>
        <v>46194.625</v>
      </c>
      <c r="Z54" s="399" t="str">
        <f>$Z$6</f>
        <v>R2</v>
      </c>
      <c r="AA54" s="400" t="str">
        <f>A53</f>
        <v>Belgium</v>
      </c>
      <c r="AB54" s="401" t="str">
        <f t="array" aca="1" ref="AB54" ca="1">Ver_flag_local</f>
        <v/>
      </c>
      <c r="AC54" s="15">
        <v>2</v>
      </c>
      <c r="AD54" s="16">
        <v>1</v>
      </c>
      <c r="AE54" s="402" t="str">
        <f t="array" aca="1" ref="AE54" ca="1">Ver_flag_visit</f>
        <v/>
      </c>
      <c r="AF54" s="403" t="str">
        <f>A55</f>
        <v>Iran</v>
      </c>
      <c r="AG54" s="404">
        <f t="shared" si="145"/>
        <v>1</v>
      </c>
      <c r="AH54" s="405">
        <v>39</v>
      </c>
      <c r="AI54" s="406" t="str">
        <f>AJ54&amp;$B$52</f>
        <v>1G</v>
      </c>
      <c r="AJ54" s="419">
        <v>1</v>
      </c>
      <c r="AK54" s="473" t="str">
        <f t="array" aca="1" ref="AK54" ca="1">Ver_flag_visit</f>
        <v/>
      </c>
      <c r="AL54" s="421" t="str">
        <f>IFERROR(INDEX($BD$6:$BD$53,MATCH(AI54,$BN$6:$BN$53,0)),"")</f>
        <v>Belgium</v>
      </c>
      <c r="AM54" s="422">
        <f t="shared" ref="AM54:AT57" si="147">INDEX($BE$6:$BN$53,MATCH($AL54,$BD$6:$BD$53,0),MATCH(AM$5,$BE$5:$BN$5,0))</f>
        <v>9</v>
      </c>
      <c r="AN54" s="423">
        <f t="shared" si="147"/>
        <v>3</v>
      </c>
      <c r="AO54" s="423">
        <f t="shared" si="147"/>
        <v>3</v>
      </c>
      <c r="AP54" s="423">
        <f t="shared" si="147"/>
        <v>0</v>
      </c>
      <c r="AQ54" s="423">
        <f t="shared" si="147"/>
        <v>0</v>
      </c>
      <c r="AR54" s="423">
        <f t="shared" si="147"/>
        <v>6</v>
      </c>
      <c r="AS54" s="423">
        <f t="shared" si="147"/>
        <v>1</v>
      </c>
      <c r="AT54" s="424">
        <f t="shared" si="147"/>
        <v>5</v>
      </c>
      <c r="AU54" s="425">
        <f>INDEX($DL$6:$DL$53,MATCH(AI54,$DP$6:$DP$53,0))</f>
        <v>1</v>
      </c>
      <c r="AV54" s="426" t="str">
        <f>INDEX($BD$6:$BD$53,MATCH(AI54,$BM$6:$BM$53,0))</f>
        <v>Belgium</v>
      </c>
      <c r="AW54" s="579"/>
      <c r="AX54" s="428"/>
      <c r="AY54" s="429" t="str">
        <f>+A53</f>
        <v>Belgium</v>
      </c>
      <c r="AZ54" s="430"/>
      <c r="BA54" s="378"/>
    </row>
    <row r="55" spans="1:121" ht="16.149999999999999" customHeight="1">
      <c r="A55" s="8" t="str">
        <f>+Equipos!B28</f>
        <v>Iran</v>
      </c>
      <c r="D55" s="8" t="str">
        <f t="shared" si="132"/>
        <v>Empate</v>
      </c>
      <c r="E55" s="8" t="str">
        <f t="shared" si="133"/>
        <v>P.3 (2)</v>
      </c>
      <c r="F55" s="8" t="str">
        <f t="shared" si="134"/>
        <v>P.3 (2)</v>
      </c>
      <c r="H55" s="8" t="str">
        <f t="shared" si="135"/>
        <v>P.3 (2)</v>
      </c>
      <c r="I55" s="8" t="str">
        <f t="shared" si="136"/>
        <v>P.3 (2)</v>
      </c>
      <c r="K55" s="8" t="str">
        <f t="shared" si="137"/>
        <v>P.3 (2)</v>
      </c>
      <c r="L55" s="8" t="str">
        <f t="shared" si="138"/>
        <v>P.3 (2)</v>
      </c>
      <c r="N55" s="8" t="str">
        <f t="shared" si="139"/>
        <v>P.3 (2)</v>
      </c>
      <c r="O55" s="8" t="str">
        <f t="shared" si="140"/>
        <v>P.3 (2)</v>
      </c>
      <c r="Q55" s="8" t="str">
        <f t="shared" si="141"/>
        <v>P.3 (2)</v>
      </c>
      <c r="R55" s="8" t="str">
        <f t="shared" si="142"/>
        <v>P.3 (2)</v>
      </c>
      <c r="T55" s="8" t="str">
        <f t="shared" si="143"/>
        <v>P.3 (2)</v>
      </c>
      <c r="U55" s="8" t="str">
        <f t="shared" si="144"/>
        <v>P.3 (2)</v>
      </c>
      <c r="V55" s="379"/>
      <c r="W55" s="607"/>
      <c r="X55" s="397">
        <f>Horarios!C55</f>
        <v>46194.875</v>
      </c>
      <c r="Y55" s="398">
        <f>Horarios!C55</f>
        <v>46194.875</v>
      </c>
      <c r="Z55" s="399" t="str">
        <f>$Z$6</f>
        <v>R2</v>
      </c>
      <c r="AA55" s="400" t="str">
        <f>A56</f>
        <v>New Zealand</v>
      </c>
      <c r="AB55" s="401" t="str">
        <f t="array" aca="1" ref="AB55" ca="1">Ver_flag_local</f>
        <v/>
      </c>
      <c r="AC55" s="15">
        <v>1</v>
      </c>
      <c r="AD55" s="16">
        <v>1</v>
      </c>
      <c r="AE55" s="402" t="str">
        <f t="array" aca="1" ref="AE55" ca="1">Ver_flag_visit</f>
        <v/>
      </c>
      <c r="AF55" s="403" t="str">
        <f>A54</f>
        <v>Egypt</v>
      </c>
      <c r="AG55" s="404">
        <f t="shared" si="145"/>
        <v>1</v>
      </c>
      <c r="AH55" s="405">
        <v>40</v>
      </c>
      <c r="AI55" s="406" t="str">
        <f>AJ55&amp;$B$52</f>
        <v>2G</v>
      </c>
      <c r="AJ55" s="431">
        <v>2</v>
      </c>
      <c r="AK55" s="476" t="str">
        <f t="array" aca="1" ref="AK55" ca="1">Ver_flag_visit</f>
        <v/>
      </c>
      <c r="AL55" s="433" t="str">
        <f>IFERROR(INDEX($BD$6:$BD$53,MATCH(AI55,$BN$6:$BN$53,0)),"")</f>
        <v>Iran</v>
      </c>
      <c r="AM55" s="434">
        <f t="shared" si="147"/>
        <v>6</v>
      </c>
      <c r="AN55" s="435">
        <f t="shared" si="147"/>
        <v>3</v>
      </c>
      <c r="AO55" s="435">
        <f t="shared" si="147"/>
        <v>2</v>
      </c>
      <c r="AP55" s="435">
        <f t="shared" si="147"/>
        <v>0</v>
      </c>
      <c r="AQ55" s="435">
        <f t="shared" si="147"/>
        <v>1</v>
      </c>
      <c r="AR55" s="435">
        <f t="shared" si="147"/>
        <v>3</v>
      </c>
      <c r="AS55" s="435">
        <f t="shared" si="147"/>
        <v>2</v>
      </c>
      <c r="AT55" s="436">
        <f t="shared" si="147"/>
        <v>1</v>
      </c>
      <c r="AU55" s="425">
        <f>INDEX($DL$6:$DL$53,MATCH(AI55,$DP$6:$DP$53,0))</f>
        <v>1</v>
      </c>
      <c r="AV55" s="426" t="str">
        <f>INDEX($BD$6:$BD$53,MATCH(AI55,$BM$6:$BM$53,0))</f>
        <v>Iran</v>
      </c>
      <c r="AW55" s="579"/>
      <c r="AX55" s="428"/>
      <c r="AY55" s="437" t="str">
        <f>+A54</f>
        <v>Egypt</v>
      </c>
      <c r="AZ55" s="438"/>
      <c r="BA55" s="378"/>
    </row>
    <row r="56" spans="1:121" ht="16.149999999999999" customHeight="1">
      <c r="A56" s="8" t="str">
        <f>+Equipos!B29</f>
        <v>New Zealand</v>
      </c>
      <c r="D56" s="8" t="str">
        <f t="shared" si="132"/>
        <v>Visitante</v>
      </c>
      <c r="E56" s="8" t="str">
        <f t="shared" si="133"/>
        <v>P.3 (2)</v>
      </c>
      <c r="F56" s="8" t="str">
        <f t="shared" si="134"/>
        <v>-</v>
      </c>
      <c r="H56" s="8" t="str">
        <f t="shared" si="135"/>
        <v>P.3 (2)</v>
      </c>
      <c r="I56" s="8" t="str">
        <f t="shared" si="136"/>
        <v>-</v>
      </c>
      <c r="K56" s="8" t="str">
        <f t="shared" si="137"/>
        <v>P.3 (2)</v>
      </c>
      <c r="L56" s="8" t="str">
        <f t="shared" si="138"/>
        <v>-</v>
      </c>
      <c r="N56" s="8" t="str">
        <f t="shared" si="139"/>
        <v>P.3 (2)</v>
      </c>
      <c r="O56" s="8" t="str">
        <f t="shared" si="140"/>
        <v>-</v>
      </c>
      <c r="Q56" s="8" t="str">
        <f t="shared" si="141"/>
        <v>P.3 (2)</v>
      </c>
      <c r="R56" s="8" t="str">
        <f t="shared" si="142"/>
        <v>-</v>
      </c>
      <c r="T56" s="8" t="str">
        <f t="shared" si="143"/>
        <v>P.3 (2)</v>
      </c>
      <c r="U56" s="8" t="str">
        <f t="shared" si="144"/>
        <v>-</v>
      </c>
      <c r="V56" s="379"/>
      <c r="W56" s="607"/>
      <c r="X56" s="397">
        <f>Horarios!C56</f>
        <v>46199.958333333343</v>
      </c>
      <c r="Y56" s="398">
        <f>Horarios!C56</f>
        <v>46199.958333333343</v>
      </c>
      <c r="Z56" s="399" t="str">
        <f>$Z$8</f>
        <v>R3</v>
      </c>
      <c r="AA56" s="400" t="str">
        <f>A54</f>
        <v>Egypt</v>
      </c>
      <c r="AB56" s="401" t="str">
        <f t="array" aca="1" ref="AB56" ca="1">Ver_flag_local</f>
        <v/>
      </c>
      <c r="AC56" s="15">
        <v>0</v>
      </c>
      <c r="AD56" s="16">
        <v>1</v>
      </c>
      <c r="AE56" s="402" t="str">
        <f t="array" aca="1" ref="AE56" ca="1">Ver_flag_visit</f>
        <v/>
      </c>
      <c r="AF56" s="403" t="str">
        <f>A55</f>
        <v>Iran</v>
      </c>
      <c r="AG56" s="404">
        <f t="shared" si="145"/>
        <v>1</v>
      </c>
      <c r="AH56" s="405">
        <v>63</v>
      </c>
      <c r="AI56" s="406" t="str">
        <f>AJ56&amp;$B$52</f>
        <v>3G</v>
      </c>
      <c r="AJ56" s="431">
        <v>3</v>
      </c>
      <c r="AK56" s="476" t="str">
        <f t="array" aca="1" ref="AK56" ca="1">Ver_flag_visit</f>
        <v/>
      </c>
      <c r="AL56" s="433" t="str">
        <f>IFERROR(INDEX($BD$6:$BD$53,MATCH(AI56,$BN$6:$BN$53,0)),"")</f>
        <v>Egypt</v>
      </c>
      <c r="AM56" s="434">
        <f t="shared" si="147"/>
        <v>1</v>
      </c>
      <c r="AN56" s="435">
        <f t="shared" si="147"/>
        <v>3</v>
      </c>
      <c r="AO56" s="435">
        <f t="shared" si="147"/>
        <v>0</v>
      </c>
      <c r="AP56" s="435">
        <f t="shared" si="147"/>
        <v>1</v>
      </c>
      <c r="AQ56" s="435">
        <f t="shared" si="147"/>
        <v>2</v>
      </c>
      <c r="AR56" s="435">
        <f t="shared" si="147"/>
        <v>1</v>
      </c>
      <c r="AS56" s="435">
        <f t="shared" si="147"/>
        <v>4</v>
      </c>
      <c r="AT56" s="436">
        <f t="shared" si="147"/>
        <v>-3</v>
      </c>
      <c r="AU56" s="425">
        <f>INDEX($DL$6:$DL$53,MATCH(AI56,$DP$6:$DP$53,0))</f>
        <v>2</v>
      </c>
      <c r="AV56" s="426" t="str">
        <f>INDEX($BD$6:$BD$53,MATCH(AI56,$BM$6:$BM$53,0))</f>
        <v>Egypt</v>
      </c>
      <c r="AW56" s="579">
        <v>1</v>
      </c>
      <c r="AX56" s="428"/>
      <c r="AY56" s="429" t="str">
        <f>+A55</f>
        <v>Iran</v>
      </c>
      <c r="AZ56" s="430"/>
      <c r="BA56" s="378"/>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P.3 (2)</v>
      </c>
      <c r="F57" s="8" t="str">
        <f t="shared" si="134"/>
        <v>-</v>
      </c>
      <c r="H57" s="8" t="str">
        <f t="shared" si="135"/>
        <v>P.3 (2)</v>
      </c>
      <c r="I57" s="8" t="str">
        <f t="shared" si="136"/>
        <v>-</v>
      </c>
      <c r="K57" s="8" t="str">
        <f t="shared" si="137"/>
        <v>P.3 (2)</v>
      </c>
      <c r="L57" s="8" t="str">
        <f t="shared" si="138"/>
        <v>-</v>
      </c>
      <c r="N57" s="8" t="str">
        <f t="shared" si="139"/>
        <v>P.3 (2)</v>
      </c>
      <c r="O57" s="8" t="str">
        <f t="shared" si="140"/>
        <v>-</v>
      </c>
      <c r="Q57" s="8" t="str">
        <f t="shared" si="141"/>
        <v>P.3 (2)</v>
      </c>
      <c r="R57" s="8" t="str">
        <f t="shared" si="142"/>
        <v>-</v>
      </c>
      <c r="T57" s="8" t="str">
        <f t="shared" si="143"/>
        <v>P.3 (2)</v>
      </c>
      <c r="U57" s="8" t="str">
        <f t="shared" si="144"/>
        <v>-</v>
      </c>
      <c r="V57" s="379"/>
      <c r="W57" s="608"/>
      <c r="X57" s="439">
        <f>Horarios!C57</f>
        <v>46199.958333333343</v>
      </c>
      <c r="Y57" s="440">
        <f>Horarios!C57</f>
        <v>46199.958333333343</v>
      </c>
      <c r="Z57" s="441" t="str">
        <f>$Z$8</f>
        <v>R3</v>
      </c>
      <c r="AA57" s="442" t="str">
        <f>A56</f>
        <v>New Zealand</v>
      </c>
      <c r="AB57" s="443" t="str">
        <f t="array" aca="1" ref="AB57" ca="1">Ver_flag_local</f>
        <v/>
      </c>
      <c r="AC57" s="17">
        <v>0</v>
      </c>
      <c r="AD57" s="18">
        <v>2</v>
      </c>
      <c r="AE57" s="444" t="str">
        <f t="array" aca="1" ref="AE57" ca="1">Ver_flag_visit</f>
        <v/>
      </c>
      <c r="AF57" s="445" t="str">
        <f>A53</f>
        <v>Belgium</v>
      </c>
      <c r="AG57" s="404">
        <f t="shared" si="145"/>
        <v>1</v>
      </c>
      <c r="AH57" s="405">
        <v>64</v>
      </c>
      <c r="AI57" s="406" t="str">
        <f>AJ57&amp;$B$52</f>
        <v>4G</v>
      </c>
      <c r="AJ57" s="446">
        <v>4</v>
      </c>
      <c r="AK57" s="485" t="str">
        <f t="array" aca="1" ref="AK57" ca="1">Ver_flag_visit</f>
        <v/>
      </c>
      <c r="AL57" s="448" t="str">
        <f>IFERROR(INDEX($BD$6:$BD$53,MATCH(AI57,$BN$6:$BN$53,0)),"")</f>
        <v>New Zealand</v>
      </c>
      <c r="AM57" s="449">
        <f t="shared" si="147"/>
        <v>1</v>
      </c>
      <c r="AN57" s="450">
        <f t="shared" si="147"/>
        <v>3</v>
      </c>
      <c r="AO57" s="450">
        <f t="shared" si="147"/>
        <v>0</v>
      </c>
      <c r="AP57" s="450">
        <f t="shared" si="147"/>
        <v>1</v>
      </c>
      <c r="AQ57" s="450">
        <f t="shared" si="147"/>
        <v>2</v>
      </c>
      <c r="AR57" s="450">
        <f t="shared" si="147"/>
        <v>1</v>
      </c>
      <c r="AS57" s="450">
        <f t="shared" si="147"/>
        <v>4</v>
      </c>
      <c r="AT57" s="451">
        <f t="shared" si="147"/>
        <v>-3</v>
      </c>
      <c r="AU57" s="425">
        <f>INDEX($DL$6:$DL$53,MATCH(AI57,$DP$6:$DP$53,0))</f>
        <v>2</v>
      </c>
      <c r="AV57" s="426" t="str">
        <f>INDEX($BD$6:$BD$53,MATCH(AI57,$BM$6:$BM$53,0))</f>
        <v>New Zealand</v>
      </c>
      <c r="AW57" s="579">
        <v>2</v>
      </c>
      <c r="AX57" s="428"/>
      <c r="AY57" s="452" t="str">
        <f>+A56</f>
        <v>New Zealand</v>
      </c>
      <c r="AZ57" s="453"/>
      <c r="BA57" s="378"/>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79"/>
      <c r="W58" s="454"/>
      <c r="X58" s="455"/>
      <c r="Y58" s="454"/>
      <c r="Z58" s="456"/>
      <c r="AA58" s="457"/>
      <c r="AB58" s="458"/>
      <c r="AC58" s="459"/>
      <c r="AD58" s="459"/>
      <c r="AE58" s="458"/>
      <c r="AF58" s="460"/>
      <c r="AG58" s="484"/>
      <c r="AH58" s="405"/>
      <c r="AI58" s="406"/>
      <c r="AJ58" s="461"/>
      <c r="AK58" s="462"/>
      <c r="AL58" s="395"/>
      <c r="AM58" s="463"/>
      <c r="AN58" s="461"/>
      <c r="AO58" s="461"/>
      <c r="AP58" s="461"/>
      <c r="AQ58" s="461"/>
      <c r="AR58" s="461"/>
      <c r="AS58" s="461"/>
      <c r="AT58" s="461"/>
      <c r="AU58" s="425"/>
      <c r="AV58" s="464"/>
      <c r="AW58" s="427"/>
      <c r="AX58" s="428"/>
      <c r="AY58" s="454"/>
      <c r="AZ58" s="455"/>
      <c r="BA58" s="378"/>
      <c r="BB58" s="9" t="str">
        <f>3&amp;BC58</f>
        <v>3A</v>
      </c>
      <c r="BC58" s="9" t="s">
        <v>20</v>
      </c>
      <c r="BD58" s="9" t="str">
        <f t="shared" ref="BD58:BD69" si="149">+INDEX($BD$6:$BN$53,MATCH($BB58,$BN$6:$BN$53,0),MATCH(BD$57,$BD$5:$BN$5,0))</f>
        <v>Mexico</v>
      </c>
      <c r="BE58" s="9">
        <f>CHOOSE($BB$57,
  (BG58*3 + BH58)+IF($AZ$3="No",0,INDEX($AZ$6:$AZ$97,MATCH(BD58,$AY$6:$AY$97,0))),
  (BG58*3 + BH58)+IF($AZ$3="No",0,INDEX($AZ$6:$AZ$97,MATCH(BD58,$AY$6:$AY$97,0))),
  IFERROR((BG58*3 + BH58+IF($AZ$3="No",0,INDEX($AZ$6:$AZ$97,MATCH(BD58,$AY$6:$AY$97,0)))) / BF58, 0)
)</f>
        <v>3</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0</v>
      </c>
      <c r="BI58" s="9">
        <f>CHOOSE(IF($BB$57=2, 2, 1),
  INDEX($BI$6:$BI$53,MATCH($BB58,$BN$6:$BN$53,0)),
  INDEX($BI$6:$BI$53,MATCH($BB58,$BN$6:$BN$53,0))-(COUNTIFS(FGLocal,$BD58,FGVisitante,INDEX($BD$6:$BD$53,MATCH(BO58,$BN$6:$BN$53,0)),Ganador,"Visitante")+COUNTIFS(FGVisitante,$BD58,FGLocal,INDEX($BD$6:$BD$53,MATCH(BO58,$BN$6:$BN$53,0)),Ganador,"Local"))
)</f>
        <v>2</v>
      </c>
      <c r="BJ58" s="9">
        <f>CHOOSE($BB$57,
  INDEX($BJ$6:$BJ$53,MATCH($BB58,$BN$6:$BN$53,0)),
  INDEX($BJ$6:$BJ$53,MATCH($BB58,$BN$6:$BN$53,0))-(SUMIFS(FG_GolesLocal,FGLocal,$BD58,FGVisitante,INDEX($BD$6:$BD$53,MATCH(BO58,$BN$6:$BN$53,0)))+SUMIFS(FG_GolesVisitante,FGVisitante,$BD58,FGLocal,INDEX($BD$6:$BD$53,MATCH(BO58,$BN$6:$BN$53,0)))),
  IFERROR(INDEX($BJ$6:$BJ$53,MATCH($BB58,$BN$6:$BN$53,0)) / BF58, 0)
)</f>
        <v>2</v>
      </c>
      <c r="BK58" s="9">
        <f>CHOOSE($BB$57,
  INDEX($BK$6:$BK$53,MATCH($BB58,$BN$6:$BN$53,0)),
  INDEX($BK$6:$BK$53,MATCH($BB58,$BN$6:$BN$53,0))-(SUMIFS(FG_GolesVisitante,FGLocal,$BD58,FGVisitante,INDEX($BD$6:$BD$53,MATCH(BO58,$BN$6:$BN$53,0)))+SUMIFS(FG_GolesLocal,FGVisitante,$BD58,FGLocal,INDEX($BD$6:$BD$53,MATCH(BO58,$BN$6:$BN$53,0)))),
  IFERROR(INDEX($BK$6:$BK$53,MATCH($BB58,$BN$6:$BN$53,0)) / BF58, 0)
)</f>
        <v>3</v>
      </c>
      <c r="BL58" s="9">
        <f t="shared" ref="BL58:BL69" si="151">+BJ58-BK58</f>
        <v>-1</v>
      </c>
      <c r="BM58" s="9">
        <f t="shared" ref="BM58:BM69" si="152">CB58</f>
        <v>5</v>
      </c>
      <c r="BN58" s="9">
        <f t="shared" ref="BN58:BN69" si="153">CF58</f>
        <v>5</v>
      </c>
      <c r="BO58" s="9" t="str">
        <f t="shared" ref="BO58:BO69" si="154">"4"&amp;BC58</f>
        <v>4A</v>
      </c>
      <c r="BP58" s="9"/>
      <c r="BQ58" s="9"/>
      <c r="BR58" s="9">
        <f t="shared" ref="BR58:BR69" si="155">+BE58</f>
        <v>3</v>
      </c>
      <c r="BS58" s="9">
        <f t="shared" ref="BS58:BS69" si="156">COUNTIFS(BR$58:BR$69,"&gt;"&amp;BR58)+1</f>
        <v>2</v>
      </c>
      <c r="BT58" s="9" t="str">
        <f t="shared" ref="BT58:BT69" si="157">IF(COUNTIF(BS$58:BS$69,BS58)=1,"-","Pos. "&amp;BS58&amp;" ("&amp;COUNTIF(BS$58:BS$69,BS58)&amp;")")</f>
        <v>Pos. 2 (6)</v>
      </c>
      <c r="BU58" s="9">
        <f t="shared" ref="BU58:BU69" si="158">IF(BT58="-","-",BL58)</f>
        <v>-1</v>
      </c>
      <c r="BV58" s="9">
        <f t="shared" ref="BV58:BV69" si="159">BS58+COUNTIFS(BT$58:BT$69,BT58,BU$58:BU$69,"&gt;"&amp;BU58)</f>
        <v>3</v>
      </c>
      <c r="BW58" s="9" t="str">
        <f t="shared" ref="BW58:BW69" si="160">IF(COUNTIF(BV$58:BV$69,BV58)=1,"-","Pos. "&amp;BV58&amp;" ("&amp;COUNTIF(BV$58:BV$69,BV58)&amp;")")</f>
        <v>Pos. 3 (3)</v>
      </c>
      <c r="BX58" s="9">
        <f t="shared" ref="BX58:BX69" si="161">IF(BW58="-","-",BJ58)</f>
        <v>2</v>
      </c>
      <c r="BY58" s="9">
        <f t="shared" ref="BY58:BY69" si="162">BV58+COUNTIFS(BW$58:BW$69,BW58,BX$58:BX$69,"&gt;"&amp;BX58)</f>
        <v>5</v>
      </c>
      <c r="BZ58" s="9" t="str">
        <f t="shared" ref="BZ58:BZ69" si="163">IF(COUNTIF(BY$58:BY$69,BY58)=1,"-","Pos. "&amp;BY58&amp;" ("&amp;COUNTIF(BY$58:BY$69,BY58)&amp;")")</f>
        <v>-</v>
      </c>
      <c r="CA58" s="9" t="str">
        <f t="shared" ref="CA58:CA69" si="164">IF(BZ58="-","-",COUNTIF($BD$58:$BD$69,"&gt;"&amp;BD58))</f>
        <v>-</v>
      </c>
      <c r="CB58" s="9">
        <f t="shared" ref="CB58:CB69" si="165">BY58+COUNTIFS(BZ$58:BZ$69,BZ58,CA$58:CA$69,"&gt;"&amp;CA58)</f>
        <v>5</v>
      </c>
      <c r="CC58" s="9"/>
      <c r="CD58" s="9">
        <f t="shared" ref="CD58:CD69" si="166">IF(OR(INDEX($AW$102:$AW$113,MATCH($BD58,$AV$102:$AV$113,0))="",BZ58="-"),CB58,INDEX($AW$102:$AW$113,MATCH($BD58,$AV$102:$AV$113,0))+CB58/1000)</f>
        <v>5</v>
      </c>
      <c r="CE58" s="9" t="str">
        <f t="shared" ref="CE58:CE69" si="167">IF(BZ58="-","-",COUNTIF(CD$58:CD$69,"&lt;"&amp;CD58))</f>
        <v>-</v>
      </c>
      <c r="CF58" s="9">
        <f t="shared" ref="CF58:CF69" si="168">BY58+COUNTIFS(BZ$58:BZ$69,BZ58,CE$58:CE$69,"&lt;"&amp;CE58)</f>
        <v>5</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Paraguay</v>
      </c>
    </row>
    <row r="59" spans="1:121" ht="16.149999999999999" customHeight="1" thickBot="1">
      <c r="V59" s="379"/>
      <c r="W59" s="388"/>
      <c r="X59" s="389" t="str">
        <f>X3</f>
        <v>Date</v>
      </c>
      <c r="Y59" s="389" t="str">
        <f>Y3</f>
        <v>Hour</v>
      </c>
      <c r="Z59" s="390" t="str">
        <f>Z3</f>
        <v>R</v>
      </c>
      <c r="AA59" s="391" t="str">
        <f>AA3</f>
        <v>Home</v>
      </c>
      <c r="AB59" s="392"/>
      <c r="AC59" s="390" t="str">
        <f>AC3</f>
        <v>Goals</v>
      </c>
      <c r="AD59" s="390" t="str">
        <f>AD3</f>
        <v>Goals</v>
      </c>
      <c r="AE59" s="392"/>
      <c r="AF59" s="393" t="str">
        <f>AF3</f>
        <v>Away</v>
      </c>
      <c r="AG59" s="465"/>
      <c r="AH59" s="405"/>
      <c r="AI59" s="382"/>
      <c r="AJ59" s="395"/>
      <c r="AK59" s="466"/>
      <c r="AL59" s="395"/>
      <c r="AM59" s="395"/>
      <c r="AN59" s="395"/>
      <c r="AO59" s="395"/>
      <c r="AP59" s="395"/>
      <c r="AQ59" s="395"/>
      <c r="AR59" s="395"/>
      <c r="AS59" s="395"/>
      <c r="AT59" s="395"/>
      <c r="AU59" s="467"/>
      <c r="AV59" s="384"/>
      <c r="AW59" s="468"/>
      <c r="AX59" s="469"/>
      <c r="AY59" s="454"/>
      <c r="AZ59" s="455"/>
      <c r="BA59" s="378"/>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3</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1</v>
      </c>
      <c r="BH59" s="9">
        <f t="shared" ref="BH59:BH69" si="175">CHOOSE(IF($BB$57=2, 2, 1),
INDEX($BH$6:$BH$53,MATCH($BB59,$BN$6:$BN$53,0)),
INDEX($BH$6:$BH$53,MATCH($BB59,$BN$6:$BN$53,0))-(COUNTIFS(FGLocal,$BD59,FGVisitante,INDEX($BD$6:$BD$53,MATCH(BO59,$BN$6:$BN$53,0)),Ganador,"Empate")+COUNTIFS(FGVisitante,$BD59,FGLocal,INDEX($BD$6:$BD$53,MATCH(BO59,$BN$6:$BN$53,0)),Ganador,"Empate"))
)</f>
        <v>0</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1</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9">
        <f t="shared" si="151"/>
        <v>-3</v>
      </c>
      <c r="BM59" s="9">
        <f t="shared" si="152"/>
        <v>6</v>
      </c>
      <c r="BN59" s="9">
        <f t="shared" si="153"/>
        <v>6</v>
      </c>
      <c r="BO59" s="9" t="str">
        <f t="shared" si="154"/>
        <v>4B</v>
      </c>
      <c r="BP59" s="9"/>
      <c r="BQ59" s="9"/>
      <c r="BR59" s="9">
        <f t="shared" si="155"/>
        <v>3</v>
      </c>
      <c r="BS59" s="9">
        <f t="shared" si="156"/>
        <v>2</v>
      </c>
      <c r="BT59" s="9" t="str">
        <f t="shared" si="157"/>
        <v>Pos. 2 (6)</v>
      </c>
      <c r="BU59" s="9">
        <f t="shared" si="158"/>
        <v>-3</v>
      </c>
      <c r="BV59" s="9">
        <f t="shared" si="159"/>
        <v>6</v>
      </c>
      <c r="BW59" s="9" t="str">
        <f t="shared" si="160"/>
        <v>-</v>
      </c>
      <c r="BX59" s="9" t="str">
        <f t="shared" si="161"/>
        <v>-</v>
      </c>
      <c r="BY59" s="9">
        <f t="shared" si="162"/>
        <v>6</v>
      </c>
      <c r="BZ59" s="9" t="str">
        <f t="shared" si="163"/>
        <v>-</v>
      </c>
      <c r="CA59" s="9" t="str">
        <f t="shared" si="164"/>
        <v>-</v>
      </c>
      <c r="CB59" s="9">
        <f t="shared" si="165"/>
        <v>6</v>
      </c>
      <c r="CC59" s="9"/>
      <c r="CD59" s="9">
        <f t="shared" si="166"/>
        <v>6</v>
      </c>
      <c r="CE59" s="9" t="str">
        <f t="shared" si="167"/>
        <v>-</v>
      </c>
      <c r="CF59" s="9">
        <f t="shared" si="168"/>
        <v>6</v>
      </c>
      <c r="DJ59" s="9">
        <f t="shared" si="169"/>
        <v>2</v>
      </c>
      <c r="DK59" s="9"/>
      <c r="DL59" s="9">
        <f t="shared" si="170"/>
        <v>1</v>
      </c>
      <c r="DM59" s="9" t="str">
        <f t="shared" si="171"/>
        <v>2.1</v>
      </c>
      <c r="DN59" s="9">
        <f t="array" aca="1" ref="DN59" ca="1">OFFSET(Horarios!$P$3,DJ59-1,0,DL59,1)</f>
        <v>2</v>
      </c>
      <c r="DO59" s="9"/>
      <c r="DP59" s="9">
        <v>2</v>
      </c>
      <c r="DQ59" s="9" t="str">
        <f t="shared" si="172"/>
        <v>Ghana</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P.3 (2)</v>
      </c>
      <c r="H60" s="8" t="str">
        <f t="shared" ref="H60:H65" si="182">IF(D60="Pendiente","-",INDEX($BZ$6:$BZ$53,MATCH($AA60,$BD$6:$BD$53,0)))</f>
        <v>-</v>
      </c>
      <c r="I60" s="8" t="str">
        <f t="shared" ref="I60:I65" si="183">IF(D60="Pendiente","-",INDEX($BZ$6:$BZ$53,MATCH($AF60,$BD$6:$BD$53,0)))</f>
        <v>P.3 (2)</v>
      </c>
      <c r="K60" s="8" t="str">
        <f t="shared" ref="K60:K65" si="184">IF(D60="Pendiente","-",INDEX($CE$6:$CE$53,MATCH($AA60,$BD$6:$BD$53,0)))</f>
        <v>-</v>
      </c>
      <c r="L60" s="8" t="str">
        <f t="shared" ref="L60:L65" si="185">IF(D60="Pendiente","-",INDEX($CE$6:$CE$53,MATCH($AF60,$BD$6:$BD$53,0)))</f>
        <v>P.3 (2)</v>
      </c>
      <c r="N60" s="8" t="str">
        <f t="shared" ref="N60:N65" si="186">IF(D60="Pendiente","-",INDEX($CH$6:$CH$53,MATCH($AA60,$BD$6:$BD$53,0)))</f>
        <v>-</v>
      </c>
      <c r="O60" s="8" t="str">
        <f t="shared" ref="O60:O65" si="187">IF(D60="Pendiente","-",INDEX($CH$6:$CH$53,MATCH($AF60,$BD$6:$BD$53,0)))</f>
        <v>P.3 (2)</v>
      </c>
      <c r="Q60" s="8" t="str">
        <f t="shared" ref="Q60:Q65" si="188">IF(D60="Pendiente","-",INDEX($CN$6:$CN$53,MATCH($AA60,$BD$6:$BD$53,0)))</f>
        <v>-</v>
      </c>
      <c r="R60" s="8" t="str">
        <f t="shared" ref="R60:R65" si="189">IF(D60="Pendiente","-",INDEX($CN$6:$CN$53,MATCH($AF60,$BD$6:$BD$53,0)))</f>
        <v>P.3 (2)</v>
      </c>
      <c r="T60" s="8" t="str">
        <f t="shared" ref="T60:T65" si="190">IF(D60="Pendiente","-",INDEX($CS$6:$CS$53,MATCH($AA60,$BD$6:$BD$53,0)))</f>
        <v>-</v>
      </c>
      <c r="U60" s="8" t="str">
        <f t="shared" ref="U60:U65" si="191">IF(D60="Pendiente","-",INDEX($CS$6:$CS$53,MATCH($AF60,$BD$6:$BD$53,0)))</f>
        <v>P.3 (2)</v>
      </c>
      <c r="V60" s="379"/>
      <c r="W60" s="638" t="s">
        <v>130</v>
      </c>
      <c r="X60" s="397">
        <f>Horarios!C60</f>
        <v>46188.5</v>
      </c>
      <c r="Y60" s="398">
        <f>Horarios!C60</f>
        <v>46188.5</v>
      </c>
      <c r="Z60" s="399" t="str">
        <f>$Z$4</f>
        <v>R1</v>
      </c>
      <c r="AA60" s="400" t="str">
        <f>A61</f>
        <v>Spain</v>
      </c>
      <c r="AB60" s="401" t="str">
        <f t="array" aca="1" ref="AB60" ca="1">Ver_flag_local</f>
        <v/>
      </c>
      <c r="AC60" s="15">
        <v>3</v>
      </c>
      <c r="AD60" s="16">
        <v>0</v>
      </c>
      <c r="AE60" s="402" t="str">
        <f t="array" aca="1" ref="AE60" ca="1">Ver_flag_visit</f>
        <v/>
      </c>
      <c r="AF60" s="403" t="str">
        <f>A62</f>
        <v>Cape Verde</v>
      </c>
      <c r="AG60" s="404">
        <f t="shared" ref="AG60:AG65" si="192">IF(NOT(OR(ISBLANK(AC60),ISBLANK(AD60))),1,0)</f>
        <v>1</v>
      </c>
      <c r="AH60" s="405">
        <v>14</v>
      </c>
      <c r="AI60" s="406"/>
      <c r="AJ60" s="407" t="str">
        <f>CONCATENATE(AJ3," ",B60)</f>
        <v>Group H</v>
      </c>
      <c r="AK60" s="408"/>
      <c r="AL60" s="408"/>
      <c r="AM60" s="408"/>
      <c r="AN60" s="408"/>
      <c r="AO60" s="408"/>
      <c r="AP60" s="408"/>
      <c r="AQ60" s="408"/>
      <c r="AR60" s="408"/>
      <c r="AS60" s="408"/>
      <c r="AT60" s="409"/>
      <c r="AU60" s="467"/>
      <c r="AV60" s="410" t="str">
        <f>IF(AU61&gt;0,$AV$3,"")</f>
        <v/>
      </c>
      <c r="AW60" s="471"/>
      <c r="AX60" s="471"/>
      <c r="AY60" s="454"/>
      <c r="AZ60" s="455"/>
      <c r="BA60" s="378"/>
      <c r="BB60" s="9" t="str">
        <f t="shared" si="173"/>
        <v>3C</v>
      </c>
      <c r="BC60" s="9" t="s">
        <v>89</v>
      </c>
      <c r="BD60" s="9" t="str">
        <f t="shared" si="149"/>
        <v>Scotland</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3</v>
      </c>
      <c r="BK60" s="9">
        <f t="shared" si="178"/>
        <v>4</v>
      </c>
      <c r="BL60" s="9">
        <f t="shared" si="151"/>
        <v>-1</v>
      </c>
      <c r="BM60" s="9">
        <f t="shared" si="152"/>
        <v>4</v>
      </c>
      <c r="BN60" s="9">
        <f t="shared" si="153"/>
        <v>4</v>
      </c>
      <c r="BO60" s="9" t="str">
        <f t="shared" si="154"/>
        <v>4C</v>
      </c>
      <c r="BP60" s="9"/>
      <c r="BQ60" s="9"/>
      <c r="BR60" s="9">
        <f t="shared" si="155"/>
        <v>3</v>
      </c>
      <c r="BS60" s="9">
        <f t="shared" si="156"/>
        <v>2</v>
      </c>
      <c r="BT60" s="9" t="str">
        <f t="shared" si="157"/>
        <v>Pos. 2 (6)</v>
      </c>
      <c r="BU60" s="9">
        <f t="shared" si="158"/>
        <v>-1</v>
      </c>
      <c r="BV60" s="9">
        <f t="shared" si="159"/>
        <v>3</v>
      </c>
      <c r="BW60" s="9" t="str">
        <f t="shared" si="160"/>
        <v>Pos. 3 (3)</v>
      </c>
      <c r="BX60" s="9">
        <f t="shared" si="161"/>
        <v>3</v>
      </c>
      <c r="BY60" s="9">
        <f t="shared" si="162"/>
        <v>3</v>
      </c>
      <c r="BZ60" s="9" t="str">
        <f t="shared" si="163"/>
        <v>Pos. 3 (2)</v>
      </c>
      <c r="CA60" s="9">
        <f t="shared" si="164"/>
        <v>1</v>
      </c>
      <c r="CB60" s="9">
        <f t="shared" si="165"/>
        <v>4</v>
      </c>
      <c r="CC60" s="9"/>
      <c r="CD60" s="9">
        <f t="shared" si="166"/>
        <v>2.004</v>
      </c>
      <c r="CE60" s="9">
        <f t="shared" si="167"/>
        <v>4</v>
      </c>
      <c r="CF60" s="9">
        <f t="shared" si="168"/>
        <v>4</v>
      </c>
      <c r="DJ60" s="9">
        <f t="shared" si="169"/>
        <v>3</v>
      </c>
      <c r="DK60" s="9"/>
      <c r="DL60" s="9">
        <f t="shared" si="170"/>
        <v>2</v>
      </c>
      <c r="DM60" s="9" t="str">
        <f t="shared" si="171"/>
        <v>3.2</v>
      </c>
      <c r="DN60" s="9">
        <f t="array" aca="1" ref="DN60" ca="1">OFFSET(Horarios!$P$3,DJ60-1,0,DL60,1)</f>
        <v>3</v>
      </c>
      <c r="DO60" s="9"/>
      <c r="DP60" s="9">
        <v>3</v>
      </c>
      <c r="DQ60" s="9" t="str">
        <f t="shared" si="172"/>
        <v>Japan</v>
      </c>
    </row>
    <row r="61" spans="1:121" ht="16.149999999999999" customHeight="1">
      <c r="A61" s="8" t="str">
        <f>+Equipos!B30</f>
        <v>Spain</v>
      </c>
      <c r="D61" s="8" t="str">
        <f t="shared" si="179"/>
        <v>Visitante</v>
      </c>
      <c r="E61" s="8" t="str">
        <f t="shared" si="180"/>
        <v>P.3 (2)</v>
      </c>
      <c r="F61" s="8" t="str">
        <f t="shared" si="181"/>
        <v>-</v>
      </c>
      <c r="H61" s="8" t="str">
        <f t="shared" si="182"/>
        <v>P.3 (2)</v>
      </c>
      <c r="I61" s="8" t="str">
        <f t="shared" si="183"/>
        <v>-</v>
      </c>
      <c r="K61" s="8" t="str">
        <f t="shared" si="184"/>
        <v>P.3 (2)</v>
      </c>
      <c r="L61" s="8" t="str">
        <f t="shared" si="185"/>
        <v>-</v>
      </c>
      <c r="N61" s="8" t="str">
        <f t="shared" si="186"/>
        <v>P.3 (2)</v>
      </c>
      <c r="O61" s="8" t="str">
        <f t="shared" si="187"/>
        <v>-</v>
      </c>
      <c r="Q61" s="8" t="str">
        <f t="shared" si="188"/>
        <v>P.3 (2)</v>
      </c>
      <c r="R61" s="8" t="str">
        <f t="shared" si="189"/>
        <v>-</v>
      </c>
      <c r="T61" s="8" t="str">
        <f t="shared" si="190"/>
        <v>P.3 (2)</v>
      </c>
      <c r="U61" s="8" t="str">
        <f t="shared" si="191"/>
        <v>-</v>
      </c>
      <c r="V61" s="379"/>
      <c r="W61" s="607"/>
      <c r="X61" s="397">
        <f>Horarios!C61</f>
        <v>46188.75</v>
      </c>
      <c r="Y61" s="398">
        <f>Horarios!C61</f>
        <v>46188.75</v>
      </c>
      <c r="Z61" s="399" t="str">
        <f>$Z$4</f>
        <v>R1</v>
      </c>
      <c r="AA61" s="400" t="str">
        <f>A63</f>
        <v>Saudi Arabia</v>
      </c>
      <c r="AB61" s="401" t="str">
        <f t="array" aca="1" ref="AB61" ca="1">Ver_flag_local</f>
        <v/>
      </c>
      <c r="AC61" s="15">
        <v>1</v>
      </c>
      <c r="AD61" s="16">
        <v>2</v>
      </c>
      <c r="AE61" s="402" t="str">
        <f t="array" aca="1" ref="AE61" ca="1">Ver_flag_visit</f>
        <v/>
      </c>
      <c r="AF61" s="403" t="str">
        <f>A64</f>
        <v>Uruguay</v>
      </c>
      <c r="AG61" s="404">
        <f t="shared" si="192"/>
        <v>1</v>
      </c>
      <c r="AH61" s="405">
        <v>13</v>
      </c>
      <c r="AI61" s="406"/>
      <c r="AJ61" s="412" t="str">
        <f>AJ5</f>
        <v>Pos</v>
      </c>
      <c r="AK61" s="413"/>
      <c r="AL61" s="414" t="str">
        <f t="shared" ref="AL61:AT61" si="194">AL5</f>
        <v>Nation</v>
      </c>
      <c r="AM61" s="413" t="str">
        <f t="shared" si="194"/>
        <v>Pts</v>
      </c>
      <c r="AN61" s="413" t="str">
        <f t="shared" si="194"/>
        <v>P</v>
      </c>
      <c r="AO61" s="413" t="str">
        <f t="shared" si="194"/>
        <v>W</v>
      </c>
      <c r="AP61" s="413" t="str">
        <f t="shared" si="194"/>
        <v>D</v>
      </c>
      <c r="AQ61" s="413" t="str">
        <f t="shared" si="194"/>
        <v>L</v>
      </c>
      <c r="AR61" s="413" t="str">
        <f t="shared" si="194"/>
        <v>F</v>
      </c>
      <c r="AS61" s="413" t="str">
        <f t="shared" si="194"/>
        <v>A</v>
      </c>
      <c r="AT61" s="415" t="str">
        <f t="shared" si="194"/>
        <v>GD</v>
      </c>
      <c r="AU61" s="467">
        <f>COUNTIF(AU62:AU65,"&gt;1")</f>
        <v>0</v>
      </c>
      <c r="AV61" s="416"/>
      <c r="AW61" s="471"/>
      <c r="AX61" s="471"/>
      <c r="AY61" s="417" t="str">
        <f>AL61</f>
        <v>Nation</v>
      </c>
      <c r="AZ61" s="418" t="str">
        <f>+Idiomas!$D$67</f>
        <v>Deducted Points</v>
      </c>
      <c r="BA61" s="378"/>
      <c r="BB61" s="9" t="str">
        <f t="shared" si="173"/>
        <v>3D</v>
      </c>
      <c r="BC61" s="9" t="s">
        <v>98</v>
      </c>
      <c r="BD61" s="9" t="str">
        <f t="shared" si="149"/>
        <v>Paraguay</v>
      </c>
      <c r="BE61" s="9">
        <f t="shared" si="193"/>
        <v>4</v>
      </c>
      <c r="BF61" s="9">
        <f t="shared" si="150"/>
        <v>3</v>
      </c>
      <c r="BG61" s="9">
        <f t="shared" si="174"/>
        <v>1</v>
      </c>
      <c r="BH61" s="9">
        <f t="shared" si="175"/>
        <v>1</v>
      </c>
      <c r="BI61" s="9">
        <f t="shared" si="176"/>
        <v>1</v>
      </c>
      <c r="BJ61" s="9">
        <f t="shared" si="177"/>
        <v>3</v>
      </c>
      <c r="BK61" s="9">
        <f t="shared" si="178"/>
        <v>2</v>
      </c>
      <c r="BL61" s="9">
        <f t="shared" si="151"/>
        <v>1</v>
      </c>
      <c r="BM61" s="9">
        <f t="shared" si="152"/>
        <v>1</v>
      </c>
      <c r="BN61" s="9">
        <f t="shared" si="153"/>
        <v>1</v>
      </c>
      <c r="BO61" s="9" t="str">
        <f t="shared" si="154"/>
        <v>4D</v>
      </c>
      <c r="BP61" s="9"/>
      <c r="BQ61" s="9"/>
      <c r="BR61" s="9">
        <f t="shared" si="155"/>
        <v>4</v>
      </c>
      <c r="BS61" s="9">
        <f t="shared" si="156"/>
        <v>1</v>
      </c>
      <c r="BT61" s="9" t="str">
        <f t="shared" si="157"/>
        <v>-</v>
      </c>
      <c r="BU61" s="9" t="str">
        <f t="shared" si="158"/>
        <v>-</v>
      </c>
      <c r="BV61" s="9">
        <f t="shared" si="159"/>
        <v>1</v>
      </c>
      <c r="BW61" s="9" t="str">
        <f t="shared" si="160"/>
        <v>-</v>
      </c>
      <c r="BX61" s="9" t="str">
        <f t="shared" si="161"/>
        <v>-</v>
      </c>
      <c r="BY61" s="9">
        <f t="shared" si="162"/>
        <v>1</v>
      </c>
      <c r="BZ61" s="9" t="str">
        <f t="shared" si="163"/>
        <v>-</v>
      </c>
      <c r="CA61" s="9" t="str">
        <f t="shared" si="164"/>
        <v>-</v>
      </c>
      <c r="CB61" s="9">
        <f t="shared" si="165"/>
        <v>1</v>
      </c>
      <c r="CC61" s="9"/>
      <c r="CD61" s="9">
        <f t="shared" si="166"/>
        <v>1</v>
      </c>
      <c r="CE61" s="9" t="str">
        <f t="shared" si="167"/>
        <v>-</v>
      </c>
      <c r="CF61" s="9">
        <f t="shared" si="168"/>
        <v>1</v>
      </c>
      <c r="DJ61" s="9">
        <f t="shared" si="169"/>
        <v>3</v>
      </c>
      <c r="DK61" s="9"/>
      <c r="DL61" s="9">
        <f t="shared" si="170"/>
        <v>2</v>
      </c>
      <c r="DM61" s="9" t="str">
        <f t="shared" si="171"/>
        <v>3.2</v>
      </c>
      <c r="DN61" s="9">
        <f t="array" aca="1" ref="DN61" ca="1">OFFSET(Horarios!$P$3,DJ61-1,0,DL61,1)</f>
        <v>3</v>
      </c>
      <c r="DO61" s="9"/>
      <c r="DP61" s="9">
        <v>4</v>
      </c>
      <c r="DQ61" s="9" t="str">
        <f t="shared" si="172"/>
        <v>Scotland</v>
      </c>
    </row>
    <row r="62" spans="1:121" ht="16.149999999999999" customHeight="1">
      <c r="A62" s="8" t="str">
        <f>+Equipos!B31</f>
        <v>Cape Verde</v>
      </c>
      <c r="D62" s="8" t="str">
        <f t="shared" si="179"/>
        <v>Local</v>
      </c>
      <c r="E62" s="8" t="str">
        <f t="shared" si="180"/>
        <v>-</v>
      </c>
      <c r="F62" s="8" t="str">
        <f t="shared" si="181"/>
        <v>P.3 (2)</v>
      </c>
      <c r="H62" s="8" t="str">
        <f t="shared" si="182"/>
        <v>-</v>
      </c>
      <c r="I62" s="8" t="str">
        <f t="shared" si="183"/>
        <v>P.3 (2)</v>
      </c>
      <c r="K62" s="8" t="str">
        <f t="shared" si="184"/>
        <v>-</v>
      </c>
      <c r="L62" s="8" t="str">
        <f t="shared" si="185"/>
        <v>P.3 (2)</v>
      </c>
      <c r="N62" s="8" t="str">
        <f t="shared" si="186"/>
        <v>-</v>
      </c>
      <c r="O62" s="8" t="str">
        <f t="shared" si="187"/>
        <v>P.3 (2)</v>
      </c>
      <c r="Q62" s="8" t="str">
        <f t="shared" si="188"/>
        <v>-</v>
      </c>
      <c r="R62" s="8" t="str">
        <f t="shared" si="189"/>
        <v>P.3 (2)</v>
      </c>
      <c r="T62" s="8" t="str">
        <f t="shared" si="190"/>
        <v>-</v>
      </c>
      <c r="U62" s="8" t="str">
        <f t="shared" si="191"/>
        <v>P.3 (2)</v>
      </c>
      <c r="V62" s="379"/>
      <c r="W62" s="607"/>
      <c r="X62" s="397">
        <f>Horarios!C62</f>
        <v>46194.5</v>
      </c>
      <c r="Y62" s="398">
        <f>Horarios!C62</f>
        <v>46194.5</v>
      </c>
      <c r="Z62" s="399" t="str">
        <f>$Z$6</f>
        <v>R2</v>
      </c>
      <c r="AA62" s="400" t="str">
        <f>A61</f>
        <v>Spain</v>
      </c>
      <c r="AB62" s="401" t="str">
        <f t="array" aca="1" ref="AB62" ca="1">Ver_flag_local</f>
        <v/>
      </c>
      <c r="AC62" s="15">
        <v>3</v>
      </c>
      <c r="AD62" s="16">
        <v>0</v>
      </c>
      <c r="AE62" s="402" t="str">
        <f t="array" aca="1" ref="AE62" ca="1">Ver_flag_visit</f>
        <v/>
      </c>
      <c r="AF62" s="403" t="str">
        <f>A63</f>
        <v>Saudi Arabia</v>
      </c>
      <c r="AG62" s="404">
        <f t="shared" si="192"/>
        <v>1</v>
      </c>
      <c r="AH62" s="405">
        <v>38</v>
      </c>
      <c r="AI62" s="406" t="str">
        <f>AJ62&amp;$B$60</f>
        <v>1H</v>
      </c>
      <c r="AJ62" s="419">
        <v>1</v>
      </c>
      <c r="AK62" s="473" t="str">
        <f t="array" aca="1" ref="AK62" ca="1">Ver_flag_visit</f>
        <v/>
      </c>
      <c r="AL62" s="421" t="str">
        <f>IFERROR(INDEX($BD$6:$BD$53,MATCH(AI62,$BN$6:$BN$53,0)),"")</f>
        <v>Spain</v>
      </c>
      <c r="AM62" s="422">
        <f t="shared" ref="AM62:AT65" si="195">INDEX($BE$6:$BN$53,MATCH($AL62,$BD$6:$BD$53,0),MATCH(AM$5,$BE$5:$BN$5,0))</f>
        <v>9</v>
      </c>
      <c r="AN62" s="423">
        <f t="shared" si="195"/>
        <v>3</v>
      </c>
      <c r="AO62" s="423">
        <f t="shared" si="195"/>
        <v>3</v>
      </c>
      <c r="AP62" s="423">
        <f t="shared" si="195"/>
        <v>0</v>
      </c>
      <c r="AQ62" s="423">
        <f t="shared" si="195"/>
        <v>0</v>
      </c>
      <c r="AR62" s="423">
        <f t="shared" si="195"/>
        <v>9</v>
      </c>
      <c r="AS62" s="423">
        <f t="shared" si="195"/>
        <v>1</v>
      </c>
      <c r="AT62" s="424">
        <f t="shared" si="195"/>
        <v>8</v>
      </c>
      <c r="AU62" s="425">
        <f>INDEX($DL$6:$DL$53,MATCH(AI62,$DP$6:$DP$53,0))</f>
        <v>1</v>
      </c>
      <c r="AV62" s="426" t="str">
        <f>INDEX($BD$6:$BD$53,MATCH(AI62,$BM$6:$BM$53,0))</f>
        <v>Spain</v>
      </c>
      <c r="AW62" s="579"/>
      <c r="AX62" s="428"/>
      <c r="AY62" s="429" t="str">
        <f>+A61</f>
        <v>Spain</v>
      </c>
      <c r="AZ62" s="430"/>
      <c r="BA62" s="378"/>
      <c r="BB62" s="9" t="str">
        <f t="shared" si="173"/>
        <v>3E</v>
      </c>
      <c r="BC62" s="9" t="s">
        <v>107</v>
      </c>
      <c r="BD62" s="9" t="str">
        <f t="shared" si="149"/>
        <v>Curaçao</v>
      </c>
      <c r="BE62" s="9">
        <f t="shared" si="193"/>
        <v>1</v>
      </c>
      <c r="BF62" s="9">
        <f t="shared" si="150"/>
        <v>3</v>
      </c>
      <c r="BG62" s="9">
        <f t="shared" si="174"/>
        <v>0</v>
      </c>
      <c r="BH62" s="9">
        <f t="shared" si="175"/>
        <v>1</v>
      </c>
      <c r="BI62" s="9">
        <f t="shared" si="176"/>
        <v>2</v>
      </c>
      <c r="BJ62" s="9">
        <f t="shared" si="177"/>
        <v>1</v>
      </c>
      <c r="BK62" s="9">
        <f t="shared" si="178"/>
        <v>4</v>
      </c>
      <c r="BL62" s="9">
        <f t="shared" si="151"/>
        <v>-3</v>
      </c>
      <c r="BM62" s="9">
        <f t="shared" si="152"/>
        <v>8</v>
      </c>
      <c r="BN62" s="9">
        <f t="shared" si="153"/>
        <v>9</v>
      </c>
      <c r="BO62" s="9" t="str">
        <f t="shared" si="154"/>
        <v>4E</v>
      </c>
      <c r="BP62" s="9"/>
      <c r="BQ62" s="9"/>
      <c r="BR62" s="9">
        <f t="shared" si="155"/>
        <v>1</v>
      </c>
      <c r="BS62" s="9">
        <f t="shared" si="156"/>
        <v>8</v>
      </c>
      <c r="BT62" s="9" t="str">
        <f t="shared" si="157"/>
        <v>Pos. 8 (5)</v>
      </c>
      <c r="BU62" s="9">
        <f t="shared" si="158"/>
        <v>-3</v>
      </c>
      <c r="BV62" s="9">
        <f t="shared" si="159"/>
        <v>8</v>
      </c>
      <c r="BW62" s="9" t="str">
        <f t="shared" si="160"/>
        <v>Pos. 8 (3)</v>
      </c>
      <c r="BX62" s="9">
        <f t="shared" si="161"/>
        <v>1</v>
      </c>
      <c r="BY62" s="9">
        <f t="shared" si="162"/>
        <v>8</v>
      </c>
      <c r="BZ62" s="9" t="str">
        <f t="shared" si="163"/>
        <v>Pos. 8 (2)</v>
      </c>
      <c r="CA62" s="9">
        <f t="shared" si="164"/>
        <v>10</v>
      </c>
      <c r="CB62" s="9">
        <f t="shared" si="165"/>
        <v>8</v>
      </c>
      <c r="CC62" s="9"/>
      <c r="CD62" s="9">
        <f t="shared" si="166"/>
        <v>2.008</v>
      </c>
      <c r="CE62" s="9">
        <f t="shared" si="167"/>
        <v>5</v>
      </c>
      <c r="CF62" s="9">
        <f t="shared" si="168"/>
        <v>9</v>
      </c>
      <c r="DJ62" s="9">
        <f t="shared" si="169"/>
        <v>5</v>
      </c>
      <c r="DK62" s="9"/>
      <c r="DL62" s="9">
        <f t="shared" si="170"/>
        <v>1</v>
      </c>
      <c r="DM62" s="9" t="str">
        <f t="shared" si="171"/>
        <v>5.1</v>
      </c>
      <c r="DN62" s="9">
        <f t="array" aca="1" ref="DN62" ca="1">OFFSET(Horarios!$P$3,DJ62-1,0,DL62,1)</f>
        <v>5</v>
      </c>
      <c r="DO62" s="9"/>
      <c r="DP62" s="9">
        <v>5</v>
      </c>
      <c r="DQ62" s="9" t="str">
        <f t="shared" si="172"/>
        <v>Mexico</v>
      </c>
    </row>
    <row r="63" spans="1:121" ht="16.149999999999999" customHeight="1">
      <c r="A63" s="8" t="str">
        <f>+Equipos!B32</f>
        <v>Saudi Arabia</v>
      </c>
      <c r="D63" s="8" t="str">
        <f t="shared" si="179"/>
        <v>Local</v>
      </c>
      <c r="E63" s="8" t="str">
        <f t="shared" si="180"/>
        <v>-</v>
      </c>
      <c r="F63" s="8" t="str">
        <f t="shared" si="181"/>
        <v>P.3 (2)</v>
      </c>
      <c r="H63" s="8" t="str">
        <f t="shared" si="182"/>
        <v>-</v>
      </c>
      <c r="I63" s="8" t="str">
        <f t="shared" si="183"/>
        <v>P.3 (2)</v>
      </c>
      <c r="K63" s="8" t="str">
        <f t="shared" si="184"/>
        <v>-</v>
      </c>
      <c r="L63" s="8" t="str">
        <f t="shared" si="185"/>
        <v>P.3 (2)</v>
      </c>
      <c r="N63" s="8" t="str">
        <f t="shared" si="186"/>
        <v>-</v>
      </c>
      <c r="O63" s="8" t="str">
        <f t="shared" si="187"/>
        <v>P.3 (2)</v>
      </c>
      <c r="Q63" s="8" t="str">
        <f t="shared" si="188"/>
        <v>-</v>
      </c>
      <c r="R63" s="8" t="str">
        <f t="shared" si="189"/>
        <v>P.3 (2)</v>
      </c>
      <c r="T63" s="8" t="str">
        <f t="shared" si="190"/>
        <v>-</v>
      </c>
      <c r="U63" s="8" t="str">
        <f t="shared" si="191"/>
        <v>P.3 (2)</v>
      </c>
      <c r="V63" s="379"/>
      <c r="W63" s="607"/>
      <c r="X63" s="397">
        <f>Horarios!C63</f>
        <v>46194.75</v>
      </c>
      <c r="Y63" s="398">
        <f>Horarios!C63</f>
        <v>46194.75</v>
      </c>
      <c r="Z63" s="399" t="str">
        <f>$Z$6</f>
        <v>R2</v>
      </c>
      <c r="AA63" s="400" t="str">
        <f>A64</f>
        <v>Uruguay</v>
      </c>
      <c r="AB63" s="401" t="str">
        <f t="array" aca="1" ref="AB63" ca="1">Ver_flag_local</f>
        <v/>
      </c>
      <c r="AC63" s="15">
        <v>2</v>
      </c>
      <c r="AD63" s="16">
        <v>0</v>
      </c>
      <c r="AE63" s="402" t="str">
        <f t="array" aca="1" ref="AE63" ca="1">Ver_flag_visit</f>
        <v/>
      </c>
      <c r="AF63" s="403" t="str">
        <f>A62</f>
        <v>Cape Verde</v>
      </c>
      <c r="AG63" s="404">
        <f t="shared" si="192"/>
        <v>1</v>
      </c>
      <c r="AH63" s="405">
        <v>37</v>
      </c>
      <c r="AI63" s="406" t="str">
        <f>AJ63&amp;$B$60</f>
        <v>2H</v>
      </c>
      <c r="AJ63" s="431">
        <v>2</v>
      </c>
      <c r="AK63" s="476" t="str">
        <f t="array" aca="1" ref="AK63" ca="1">Ver_flag_visit</f>
        <v/>
      </c>
      <c r="AL63" s="433" t="str">
        <f>IFERROR(INDEX($BD$6:$BD$53,MATCH(AI63,$BN$6:$BN$53,0)),"")</f>
        <v>Uruguay</v>
      </c>
      <c r="AM63" s="434">
        <f t="shared" si="195"/>
        <v>6</v>
      </c>
      <c r="AN63" s="435">
        <f t="shared" si="195"/>
        <v>3</v>
      </c>
      <c r="AO63" s="435">
        <f t="shared" si="195"/>
        <v>2</v>
      </c>
      <c r="AP63" s="435">
        <f t="shared" si="195"/>
        <v>0</v>
      </c>
      <c r="AQ63" s="435">
        <f t="shared" si="195"/>
        <v>1</v>
      </c>
      <c r="AR63" s="435">
        <f t="shared" si="195"/>
        <v>5</v>
      </c>
      <c r="AS63" s="435">
        <f t="shared" si="195"/>
        <v>4</v>
      </c>
      <c r="AT63" s="436">
        <f t="shared" si="195"/>
        <v>1</v>
      </c>
      <c r="AU63" s="425">
        <f>INDEX($DL$6:$DL$53,MATCH(AI63,$DP$6:$DP$53,0))</f>
        <v>1</v>
      </c>
      <c r="AV63" s="426" t="str">
        <f>INDEX($BD$6:$BD$53,MATCH(AI63,$BM$6:$BM$53,0))</f>
        <v>Uruguay</v>
      </c>
      <c r="AW63" s="579"/>
      <c r="AX63" s="428"/>
      <c r="AY63" s="437" t="str">
        <f>+A62</f>
        <v>Cape Verde</v>
      </c>
      <c r="AZ63" s="438"/>
      <c r="BA63" s="378"/>
      <c r="BB63" s="9" t="str">
        <f t="shared" si="173"/>
        <v>3F</v>
      </c>
      <c r="BC63" s="9" t="s">
        <v>116</v>
      </c>
      <c r="BD63" s="9" t="str">
        <f t="shared" si="149"/>
        <v>Japan</v>
      </c>
      <c r="BE63" s="9">
        <f t="shared" si="193"/>
        <v>3</v>
      </c>
      <c r="BF63" s="9">
        <f t="shared" si="150"/>
        <v>3</v>
      </c>
      <c r="BG63" s="9">
        <f t="shared" si="174"/>
        <v>1</v>
      </c>
      <c r="BH63" s="9">
        <f t="shared" si="175"/>
        <v>0</v>
      </c>
      <c r="BI63" s="9">
        <f t="shared" si="176"/>
        <v>2</v>
      </c>
      <c r="BJ63" s="9">
        <f t="shared" si="177"/>
        <v>3</v>
      </c>
      <c r="BK63" s="9">
        <f t="shared" si="178"/>
        <v>4</v>
      </c>
      <c r="BL63" s="9">
        <f t="shared" si="151"/>
        <v>-1</v>
      </c>
      <c r="BM63" s="9">
        <f t="shared" si="152"/>
        <v>3</v>
      </c>
      <c r="BN63" s="9">
        <f t="shared" si="153"/>
        <v>3</v>
      </c>
      <c r="BO63" s="9" t="str">
        <f t="shared" si="154"/>
        <v>4F</v>
      </c>
      <c r="BP63" s="9"/>
      <c r="BQ63" s="9"/>
      <c r="BR63" s="9">
        <f t="shared" si="155"/>
        <v>3</v>
      </c>
      <c r="BS63" s="9">
        <f t="shared" si="156"/>
        <v>2</v>
      </c>
      <c r="BT63" s="9" t="str">
        <f t="shared" si="157"/>
        <v>Pos. 2 (6)</v>
      </c>
      <c r="BU63" s="9">
        <f t="shared" si="158"/>
        <v>-1</v>
      </c>
      <c r="BV63" s="9">
        <f t="shared" si="159"/>
        <v>3</v>
      </c>
      <c r="BW63" s="9" t="str">
        <f t="shared" si="160"/>
        <v>Pos. 3 (3)</v>
      </c>
      <c r="BX63" s="9">
        <f t="shared" si="161"/>
        <v>3</v>
      </c>
      <c r="BY63" s="9">
        <f t="shared" si="162"/>
        <v>3</v>
      </c>
      <c r="BZ63" s="9" t="str">
        <f t="shared" si="163"/>
        <v>Pos. 3 (2)</v>
      </c>
      <c r="CA63" s="9">
        <f t="shared" si="164"/>
        <v>6</v>
      </c>
      <c r="CB63" s="9">
        <f t="shared" si="165"/>
        <v>3</v>
      </c>
      <c r="CC63" s="9"/>
      <c r="CD63" s="9">
        <f t="shared" si="166"/>
        <v>1.0029999999999999</v>
      </c>
      <c r="CE63" s="9">
        <f t="shared" si="167"/>
        <v>1</v>
      </c>
      <c r="CF63" s="9">
        <f t="shared" si="168"/>
        <v>3</v>
      </c>
      <c r="DJ63" s="9">
        <f t="shared" si="169"/>
        <v>6</v>
      </c>
      <c r="DK63" s="9"/>
      <c r="DL63" s="9">
        <f t="shared" si="170"/>
        <v>1</v>
      </c>
      <c r="DM63" s="9" t="str">
        <f t="shared" si="171"/>
        <v>6.1</v>
      </c>
      <c r="DN63" s="9">
        <f t="array" aca="1" ref="DN63" ca="1">OFFSET(Horarios!$P$3,DJ63-1,0,DL63,1)</f>
        <v>6</v>
      </c>
      <c r="DO63" s="9"/>
      <c r="DP63" s="9">
        <v>6</v>
      </c>
      <c r="DQ63" s="9" t="str">
        <f t="shared" si="172"/>
        <v>Bosnia and Herzegovina</v>
      </c>
    </row>
    <row r="64" spans="1:121" ht="16.149999999999999" customHeight="1">
      <c r="A64" s="8" t="str">
        <f>+Equipos!B33</f>
        <v>Uruguay</v>
      </c>
      <c r="D64" s="8" t="str">
        <f t="shared" si="179"/>
        <v>Empate</v>
      </c>
      <c r="E64" s="8" t="str">
        <f t="shared" si="180"/>
        <v>P.3 (2)</v>
      </c>
      <c r="F64" s="8" t="str">
        <f t="shared" si="181"/>
        <v>P.3 (2)</v>
      </c>
      <c r="H64" s="8" t="str">
        <f t="shared" si="182"/>
        <v>P.3 (2)</v>
      </c>
      <c r="I64" s="8" t="str">
        <f t="shared" si="183"/>
        <v>P.3 (2)</v>
      </c>
      <c r="K64" s="8" t="str">
        <f t="shared" si="184"/>
        <v>P.3 (2)</v>
      </c>
      <c r="L64" s="8" t="str">
        <f t="shared" si="185"/>
        <v>P.3 (2)</v>
      </c>
      <c r="N64" s="8" t="str">
        <f t="shared" si="186"/>
        <v>P.3 (2)</v>
      </c>
      <c r="O64" s="8" t="str">
        <f t="shared" si="187"/>
        <v>P.3 (2)</v>
      </c>
      <c r="Q64" s="8" t="str">
        <f t="shared" si="188"/>
        <v>P.3 (2)</v>
      </c>
      <c r="R64" s="8" t="str">
        <f t="shared" si="189"/>
        <v>P.3 (2)</v>
      </c>
      <c r="T64" s="8" t="str">
        <f t="shared" si="190"/>
        <v>P.3 (2)</v>
      </c>
      <c r="U64" s="8" t="str">
        <f t="shared" si="191"/>
        <v>P.3 (2)</v>
      </c>
      <c r="V64" s="379"/>
      <c r="W64" s="607"/>
      <c r="X64" s="397">
        <f>Horarios!C64</f>
        <v>46199.833333333343</v>
      </c>
      <c r="Y64" s="398">
        <f>Horarios!C64</f>
        <v>46199.833333333343</v>
      </c>
      <c r="Z64" s="399" t="str">
        <f>$Z$8</f>
        <v>R3</v>
      </c>
      <c r="AA64" s="400" t="str">
        <f>A62</f>
        <v>Cape Verde</v>
      </c>
      <c r="AB64" s="401" t="str">
        <f t="array" aca="1" ref="AB64" ca="1">Ver_flag_local</f>
        <v/>
      </c>
      <c r="AC64" s="15">
        <v>0</v>
      </c>
      <c r="AD64" s="16">
        <v>0</v>
      </c>
      <c r="AE64" s="402" t="str">
        <f t="array" aca="1" ref="AE64" ca="1">Ver_flag_visit</f>
        <v/>
      </c>
      <c r="AF64" s="403" t="str">
        <f>A63</f>
        <v>Saudi Arabia</v>
      </c>
      <c r="AG64" s="404">
        <f t="shared" si="192"/>
        <v>1</v>
      </c>
      <c r="AH64" s="405">
        <v>65</v>
      </c>
      <c r="AI64" s="406" t="str">
        <f>AJ64&amp;$B$60</f>
        <v>3H</v>
      </c>
      <c r="AJ64" s="431">
        <v>3</v>
      </c>
      <c r="AK64" s="476" t="str">
        <f t="array" aca="1" ref="AK64" ca="1">Ver_flag_visit</f>
        <v/>
      </c>
      <c r="AL64" s="433" t="str">
        <f>IFERROR(INDEX($BD$6:$BD$53,MATCH(AI64,$BN$6:$BN$53,0)),"")</f>
        <v>Saudi Arabia</v>
      </c>
      <c r="AM64" s="434">
        <f t="shared" si="195"/>
        <v>1</v>
      </c>
      <c r="AN64" s="435">
        <f t="shared" si="195"/>
        <v>3</v>
      </c>
      <c r="AO64" s="435">
        <f t="shared" si="195"/>
        <v>0</v>
      </c>
      <c r="AP64" s="435">
        <f t="shared" si="195"/>
        <v>1</v>
      </c>
      <c r="AQ64" s="435">
        <f t="shared" si="195"/>
        <v>2</v>
      </c>
      <c r="AR64" s="435">
        <f t="shared" si="195"/>
        <v>1</v>
      </c>
      <c r="AS64" s="435">
        <f t="shared" si="195"/>
        <v>5</v>
      </c>
      <c r="AT64" s="436">
        <f t="shared" si="195"/>
        <v>-4</v>
      </c>
      <c r="AU64" s="425">
        <f>INDEX($DL$6:$DL$53,MATCH(AI64,$DP$6:$DP$53,0))</f>
        <v>1</v>
      </c>
      <c r="AV64" s="426" t="str">
        <f>INDEX($BD$6:$BD$53,MATCH(AI64,$BM$6:$BM$53,0))</f>
        <v>Saudi Arabia</v>
      </c>
      <c r="AW64" s="579"/>
      <c r="AX64" s="428"/>
      <c r="AY64" s="429" t="str">
        <f>+A63</f>
        <v>Saudi Arabia</v>
      </c>
      <c r="AZ64" s="430"/>
      <c r="BA64" s="378"/>
      <c r="BB64" s="9" t="str">
        <f t="shared" si="173"/>
        <v>3G</v>
      </c>
      <c r="BC64" s="9" t="s">
        <v>125</v>
      </c>
      <c r="BD64" s="9" t="str">
        <f t="shared" si="149"/>
        <v>Egypt</v>
      </c>
      <c r="BE64" s="9">
        <f t="shared" si="193"/>
        <v>1</v>
      </c>
      <c r="BF64" s="9">
        <f t="shared" si="150"/>
        <v>3</v>
      </c>
      <c r="BG64" s="9">
        <f t="shared" si="174"/>
        <v>0</v>
      </c>
      <c r="BH64" s="9">
        <f t="shared" si="175"/>
        <v>1</v>
      </c>
      <c r="BI64" s="9">
        <f t="shared" si="176"/>
        <v>2</v>
      </c>
      <c r="BJ64" s="9">
        <f t="shared" si="177"/>
        <v>1</v>
      </c>
      <c r="BK64" s="9">
        <f t="shared" si="178"/>
        <v>4</v>
      </c>
      <c r="BL64" s="9">
        <f t="shared" si="151"/>
        <v>-3</v>
      </c>
      <c r="BM64" s="9">
        <f t="shared" si="152"/>
        <v>9</v>
      </c>
      <c r="BN64" s="9">
        <f t="shared" si="153"/>
        <v>8</v>
      </c>
      <c r="BO64" s="9" t="str">
        <f t="shared" si="154"/>
        <v>4G</v>
      </c>
      <c r="BP64" s="9"/>
      <c r="BQ64" s="9"/>
      <c r="BR64" s="9">
        <f t="shared" si="155"/>
        <v>1</v>
      </c>
      <c r="BS64" s="9">
        <f t="shared" si="156"/>
        <v>8</v>
      </c>
      <c r="BT64" s="9" t="str">
        <f t="shared" si="157"/>
        <v>Pos. 8 (5)</v>
      </c>
      <c r="BU64" s="9">
        <f t="shared" si="158"/>
        <v>-3</v>
      </c>
      <c r="BV64" s="9">
        <f t="shared" si="159"/>
        <v>8</v>
      </c>
      <c r="BW64" s="9" t="str">
        <f t="shared" si="160"/>
        <v>Pos. 8 (3)</v>
      </c>
      <c r="BX64" s="9">
        <f t="shared" si="161"/>
        <v>1</v>
      </c>
      <c r="BY64" s="9">
        <f t="shared" si="162"/>
        <v>8</v>
      </c>
      <c r="BZ64" s="9" t="str">
        <f t="shared" si="163"/>
        <v>Pos. 8 (2)</v>
      </c>
      <c r="CA64" s="9">
        <f t="shared" si="164"/>
        <v>8</v>
      </c>
      <c r="CB64" s="9">
        <f t="shared" si="165"/>
        <v>9</v>
      </c>
      <c r="CC64" s="9"/>
      <c r="CD64" s="9">
        <f t="shared" si="166"/>
        <v>1.0089999999999999</v>
      </c>
      <c r="CE64" s="9">
        <f t="shared" si="167"/>
        <v>2</v>
      </c>
      <c r="CF64" s="9">
        <f t="shared" si="168"/>
        <v>8</v>
      </c>
      <c r="DJ64" s="9">
        <f t="shared" si="169"/>
        <v>7</v>
      </c>
      <c r="DK64" s="9"/>
      <c r="DL64" s="9">
        <f t="shared" si="170"/>
        <v>1</v>
      </c>
      <c r="DM64" s="9" t="str">
        <f t="shared" si="171"/>
        <v>7.1</v>
      </c>
      <c r="DN64" s="9">
        <f t="array" aca="1" ref="DN64" ca="1">OFFSET(Horarios!$P$3,DJ64-1,0,DL64,1)</f>
        <v>7</v>
      </c>
      <c r="DO64" s="9"/>
      <c r="DP64" s="9">
        <v>7</v>
      </c>
      <c r="DQ64" s="9" t="str">
        <f t="shared" si="172"/>
        <v>Senegal</v>
      </c>
    </row>
    <row r="65" spans="1:121" ht="16.149999999999999" customHeight="1" thickBot="1">
      <c r="D65" s="8" t="str">
        <f t="shared" si="179"/>
        <v>Visitante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79"/>
      <c r="W65" s="608"/>
      <c r="X65" s="439">
        <f>Horarios!C65</f>
        <v>46199.833333333343</v>
      </c>
      <c r="Y65" s="440">
        <f>Horarios!C65</f>
        <v>46199.833333333343</v>
      </c>
      <c r="Z65" s="441" t="str">
        <f>$Z$8</f>
        <v>R3</v>
      </c>
      <c r="AA65" s="442" t="str">
        <f>A64</f>
        <v>Uruguay</v>
      </c>
      <c r="AB65" s="443" t="str">
        <f t="array" aca="1" ref="AB65" ca="1">Ver_flag_local</f>
        <v/>
      </c>
      <c r="AC65" s="17">
        <v>1</v>
      </c>
      <c r="AD65" s="18">
        <v>3</v>
      </c>
      <c r="AE65" s="444" t="str">
        <f t="array" aca="1" ref="AE65" ca="1">Ver_flag_visit</f>
        <v/>
      </c>
      <c r="AF65" s="445" t="str">
        <f>A61</f>
        <v>Spain</v>
      </c>
      <c r="AG65" s="404">
        <f t="shared" si="192"/>
        <v>1</v>
      </c>
      <c r="AH65" s="405">
        <v>66</v>
      </c>
      <c r="AI65" s="406" t="str">
        <f>AJ65&amp;$B$60</f>
        <v>4H</v>
      </c>
      <c r="AJ65" s="446">
        <v>4</v>
      </c>
      <c r="AK65" s="485" t="str">
        <f t="array" aca="1" ref="AK65" ca="1">Ver_flag_visit</f>
        <v/>
      </c>
      <c r="AL65" s="448" t="str">
        <f>IFERROR(INDEX($BD$6:$BD$53,MATCH(AI65,$BN$6:$BN$53,0)),"")</f>
        <v>Cape Verde</v>
      </c>
      <c r="AM65" s="449">
        <f t="shared" si="195"/>
        <v>1</v>
      </c>
      <c r="AN65" s="450">
        <f t="shared" si="195"/>
        <v>3</v>
      </c>
      <c r="AO65" s="450">
        <f t="shared" si="195"/>
        <v>0</v>
      </c>
      <c r="AP65" s="450">
        <f t="shared" si="195"/>
        <v>1</v>
      </c>
      <c r="AQ65" s="450">
        <f t="shared" si="195"/>
        <v>2</v>
      </c>
      <c r="AR65" s="450">
        <f t="shared" si="195"/>
        <v>0</v>
      </c>
      <c r="AS65" s="450">
        <f t="shared" si="195"/>
        <v>5</v>
      </c>
      <c r="AT65" s="451">
        <f t="shared" si="195"/>
        <v>-5</v>
      </c>
      <c r="AU65" s="425">
        <f>INDEX($DL$6:$DL$53,MATCH(AI65,$DP$6:$DP$53,0))</f>
        <v>1</v>
      </c>
      <c r="AV65" s="426" t="str">
        <f>INDEX($BD$6:$BD$53,MATCH(AI65,$BM$6:$BM$53,0))</f>
        <v>Cape Verde</v>
      </c>
      <c r="AW65" s="579"/>
      <c r="AX65" s="428"/>
      <c r="AY65" s="452" t="str">
        <f>+A64</f>
        <v>Uruguay</v>
      </c>
      <c r="AZ65" s="453"/>
      <c r="BA65" s="378"/>
      <c r="BB65" s="9" t="str">
        <f t="shared" si="173"/>
        <v>3H</v>
      </c>
      <c r="BC65" s="9" t="s">
        <v>130</v>
      </c>
      <c r="BD65" s="9" t="str">
        <f t="shared" si="149"/>
        <v>Saudi Arabia</v>
      </c>
      <c r="BE65" s="9">
        <f t="shared" si="193"/>
        <v>1</v>
      </c>
      <c r="BF65" s="9">
        <f t="shared" si="150"/>
        <v>3</v>
      </c>
      <c r="BG65" s="9">
        <f t="shared" si="174"/>
        <v>0</v>
      </c>
      <c r="BH65" s="9">
        <f t="shared" si="175"/>
        <v>1</v>
      </c>
      <c r="BI65" s="9">
        <f t="shared" si="176"/>
        <v>2</v>
      </c>
      <c r="BJ65" s="9">
        <f t="shared" si="177"/>
        <v>1</v>
      </c>
      <c r="BK65" s="9">
        <f t="shared" si="178"/>
        <v>5</v>
      </c>
      <c r="BL65" s="9">
        <f t="shared" si="151"/>
        <v>-4</v>
      </c>
      <c r="BM65" s="9">
        <f t="shared" si="152"/>
        <v>12</v>
      </c>
      <c r="BN65" s="9">
        <f t="shared" si="153"/>
        <v>12</v>
      </c>
      <c r="BO65" s="9" t="str">
        <f t="shared" si="154"/>
        <v>4H</v>
      </c>
      <c r="BP65" s="9"/>
      <c r="BQ65" s="9"/>
      <c r="BR65" s="9">
        <f t="shared" si="155"/>
        <v>1</v>
      </c>
      <c r="BS65" s="9">
        <f t="shared" si="156"/>
        <v>8</v>
      </c>
      <c r="BT65" s="9" t="str">
        <f t="shared" si="157"/>
        <v>Pos. 8 (5)</v>
      </c>
      <c r="BU65" s="9">
        <f t="shared" si="158"/>
        <v>-4</v>
      </c>
      <c r="BV65" s="9">
        <f t="shared" si="159"/>
        <v>11</v>
      </c>
      <c r="BW65" s="9" t="str">
        <f t="shared" si="160"/>
        <v>Pos. 11 (2)</v>
      </c>
      <c r="BX65" s="9">
        <f t="shared" si="161"/>
        <v>1</v>
      </c>
      <c r="BY65" s="9">
        <f t="shared" si="162"/>
        <v>12</v>
      </c>
      <c r="BZ65" s="9" t="str">
        <f t="shared" si="163"/>
        <v>-</v>
      </c>
      <c r="CA65" s="9" t="str">
        <f t="shared" si="164"/>
        <v>-</v>
      </c>
      <c r="CB65" s="9">
        <f t="shared" si="165"/>
        <v>12</v>
      </c>
      <c r="CC65" s="9"/>
      <c r="CD65" s="9">
        <f t="shared" si="166"/>
        <v>12</v>
      </c>
      <c r="CE65" s="9" t="str">
        <f t="shared" si="167"/>
        <v>-</v>
      </c>
      <c r="CF65" s="9">
        <f t="shared" si="168"/>
        <v>12</v>
      </c>
      <c r="DJ65" s="9">
        <f t="shared" si="169"/>
        <v>8</v>
      </c>
      <c r="DK65" s="9"/>
      <c r="DL65" s="9">
        <f t="shared" si="170"/>
        <v>2</v>
      </c>
      <c r="DM65" s="9" t="str">
        <f t="shared" si="171"/>
        <v>8.2</v>
      </c>
      <c r="DN65" s="9">
        <f t="array" aca="1" ref="DN65" ca="1">OFFSET(Horarios!$P$3,DJ65-1,0,DL65,1)</f>
        <v>8</v>
      </c>
      <c r="DO65" s="9"/>
      <c r="DP65" s="9">
        <v>8</v>
      </c>
      <c r="DQ65" s="9" t="str">
        <f t="shared" si="172"/>
        <v>Curaçao</v>
      </c>
    </row>
    <row r="66" spans="1:121" ht="16.149999999999999" customHeight="1" thickBot="1">
      <c r="V66" s="379"/>
      <c r="W66" s="454"/>
      <c r="X66" s="455"/>
      <c r="Y66" s="454"/>
      <c r="Z66" s="456"/>
      <c r="AA66" s="457"/>
      <c r="AB66" s="458"/>
      <c r="AC66" s="459"/>
      <c r="AD66" s="459"/>
      <c r="AE66" s="458"/>
      <c r="AF66" s="460"/>
      <c r="AG66" s="484"/>
      <c r="AH66" s="405"/>
      <c r="AI66" s="374"/>
      <c r="AJ66" s="461"/>
      <c r="AK66" s="462"/>
      <c r="AL66" s="395"/>
      <c r="AM66" s="463"/>
      <c r="AN66" s="461"/>
      <c r="AO66" s="461"/>
      <c r="AP66" s="461"/>
      <c r="AQ66" s="461"/>
      <c r="AR66" s="461"/>
      <c r="AS66" s="461"/>
      <c r="AT66" s="461"/>
      <c r="AU66" s="425"/>
      <c r="AV66" s="464"/>
      <c r="AW66" s="427"/>
      <c r="AX66" s="428"/>
      <c r="AY66" s="454"/>
      <c r="AZ66" s="455"/>
      <c r="BA66" s="378"/>
      <c r="BB66" s="9" t="str">
        <f t="shared" si="173"/>
        <v>3I</v>
      </c>
      <c r="BC66" s="9" t="s">
        <v>131</v>
      </c>
      <c r="BD66" s="9" t="str">
        <f t="shared" si="149"/>
        <v>Senegal</v>
      </c>
      <c r="BE66" s="9">
        <f t="shared" si="193"/>
        <v>3</v>
      </c>
      <c r="BF66" s="9">
        <f t="shared" si="150"/>
        <v>3</v>
      </c>
      <c r="BG66" s="9">
        <f t="shared" si="174"/>
        <v>1</v>
      </c>
      <c r="BH66" s="9">
        <f t="shared" si="175"/>
        <v>0</v>
      </c>
      <c r="BI66" s="9">
        <f t="shared" si="176"/>
        <v>2</v>
      </c>
      <c r="BJ66" s="9">
        <f t="shared" si="177"/>
        <v>1</v>
      </c>
      <c r="BK66" s="9">
        <f t="shared" si="178"/>
        <v>5</v>
      </c>
      <c r="BL66" s="9">
        <f t="shared" si="151"/>
        <v>-4</v>
      </c>
      <c r="BM66" s="9">
        <f t="shared" si="152"/>
        <v>7</v>
      </c>
      <c r="BN66" s="9">
        <f t="shared" si="153"/>
        <v>7</v>
      </c>
      <c r="BO66" s="9" t="str">
        <f t="shared" si="154"/>
        <v>4I</v>
      </c>
      <c r="BP66" s="9"/>
      <c r="BQ66" s="9"/>
      <c r="BR66" s="9">
        <f t="shared" si="155"/>
        <v>3</v>
      </c>
      <c r="BS66" s="9">
        <f t="shared" si="156"/>
        <v>2</v>
      </c>
      <c r="BT66" s="9" t="str">
        <f t="shared" si="157"/>
        <v>Pos. 2 (6)</v>
      </c>
      <c r="BU66" s="9">
        <f t="shared" si="158"/>
        <v>-4</v>
      </c>
      <c r="BV66" s="9">
        <f t="shared" si="159"/>
        <v>7</v>
      </c>
      <c r="BW66" s="9" t="str">
        <f t="shared" si="160"/>
        <v>-</v>
      </c>
      <c r="BX66" s="9" t="str">
        <f t="shared" si="161"/>
        <v>-</v>
      </c>
      <c r="BY66" s="9">
        <f t="shared" si="162"/>
        <v>7</v>
      </c>
      <c r="BZ66" s="9" t="str">
        <f t="shared" si="163"/>
        <v>-</v>
      </c>
      <c r="CA66" s="9" t="str">
        <f t="shared" si="164"/>
        <v>-</v>
      </c>
      <c r="CB66" s="9">
        <f t="shared" si="165"/>
        <v>7</v>
      </c>
      <c r="CC66" s="9"/>
      <c r="CD66" s="9">
        <f t="shared" si="166"/>
        <v>7</v>
      </c>
      <c r="CE66" s="9" t="str">
        <f t="shared" si="167"/>
        <v>-</v>
      </c>
      <c r="CF66" s="9">
        <f t="shared" si="168"/>
        <v>7</v>
      </c>
      <c r="DJ66" s="9">
        <f t="shared" si="169"/>
        <v>8</v>
      </c>
      <c r="DK66" s="9"/>
      <c r="DL66" s="9">
        <f t="shared" si="170"/>
        <v>2</v>
      </c>
      <c r="DM66" s="9" t="str">
        <f t="shared" si="171"/>
        <v>8.2</v>
      </c>
      <c r="DN66" s="9">
        <f t="array" aca="1" ref="DN66" ca="1">OFFSET(Horarios!$P$3,DJ66-1,0,DL66,1)</f>
        <v>8</v>
      </c>
      <c r="DO66" s="9"/>
      <c r="DP66" s="9">
        <v>9</v>
      </c>
      <c r="DQ66" s="9" t="str">
        <f t="shared" si="172"/>
        <v>Egypt</v>
      </c>
    </row>
    <row r="67" spans="1:121" ht="16.149999999999999" customHeight="1" thickBot="1">
      <c r="V67" s="379"/>
      <c r="W67" s="388"/>
      <c r="X67" s="389" t="str">
        <f>X3</f>
        <v>Date</v>
      </c>
      <c r="Y67" s="389" t="str">
        <f>Y3</f>
        <v>Hour</v>
      </c>
      <c r="Z67" s="390" t="str">
        <f>Z3</f>
        <v>R</v>
      </c>
      <c r="AA67" s="391" t="str">
        <f>AA3</f>
        <v>Home</v>
      </c>
      <c r="AB67" s="392"/>
      <c r="AC67" s="390" t="str">
        <f>AC3</f>
        <v>Goals</v>
      </c>
      <c r="AD67" s="390" t="str">
        <f>AD3</f>
        <v>Goals</v>
      </c>
      <c r="AE67" s="392"/>
      <c r="AF67" s="393" t="str">
        <f>AF3</f>
        <v>Away</v>
      </c>
      <c r="AG67" s="465"/>
      <c r="AH67" s="405"/>
      <c r="AI67" s="382"/>
      <c r="AJ67" s="395"/>
      <c r="AK67" s="466"/>
      <c r="AL67" s="395"/>
      <c r="AM67" s="395"/>
      <c r="AN67" s="395"/>
      <c r="AO67" s="395"/>
      <c r="AP67" s="395"/>
      <c r="AQ67" s="395"/>
      <c r="AR67" s="395"/>
      <c r="AS67" s="395"/>
      <c r="AT67" s="395"/>
      <c r="AU67" s="467"/>
      <c r="AV67" s="384"/>
      <c r="AW67" s="468"/>
      <c r="AX67" s="469"/>
      <c r="AY67" s="454"/>
      <c r="AZ67" s="455"/>
      <c r="BA67" s="378"/>
      <c r="BB67" s="9" t="str">
        <f t="shared" si="173"/>
        <v>3J</v>
      </c>
      <c r="BC67" s="9" t="s">
        <v>132</v>
      </c>
      <c r="BD67" s="9" t="str">
        <f t="shared" si="149"/>
        <v>Jordan</v>
      </c>
      <c r="BE67" s="9">
        <f t="shared" si="193"/>
        <v>1</v>
      </c>
      <c r="BF67" s="9">
        <f t="shared" si="150"/>
        <v>3</v>
      </c>
      <c r="BG67" s="9">
        <f t="shared" si="174"/>
        <v>0</v>
      </c>
      <c r="BH67" s="9">
        <f t="shared" si="175"/>
        <v>1</v>
      </c>
      <c r="BI67" s="9">
        <f t="shared" si="176"/>
        <v>2</v>
      </c>
      <c r="BJ67" s="9">
        <f t="shared" si="177"/>
        <v>0</v>
      </c>
      <c r="BK67" s="9">
        <f t="shared" si="178"/>
        <v>3</v>
      </c>
      <c r="BL67" s="9">
        <f t="shared" si="151"/>
        <v>-3</v>
      </c>
      <c r="BM67" s="9">
        <f t="shared" si="152"/>
        <v>10</v>
      </c>
      <c r="BN67" s="9">
        <f t="shared" si="153"/>
        <v>10</v>
      </c>
      <c r="BO67" s="9" t="str">
        <f t="shared" si="154"/>
        <v>4J</v>
      </c>
      <c r="BP67" s="9"/>
      <c r="BQ67" s="9"/>
      <c r="BR67" s="9">
        <f t="shared" si="155"/>
        <v>1</v>
      </c>
      <c r="BS67" s="9">
        <f t="shared" si="156"/>
        <v>8</v>
      </c>
      <c r="BT67" s="9" t="str">
        <f t="shared" si="157"/>
        <v>Pos. 8 (5)</v>
      </c>
      <c r="BU67" s="9">
        <f t="shared" si="158"/>
        <v>-3</v>
      </c>
      <c r="BV67" s="9">
        <f t="shared" si="159"/>
        <v>8</v>
      </c>
      <c r="BW67" s="9" t="str">
        <f t="shared" si="160"/>
        <v>Pos. 8 (3)</v>
      </c>
      <c r="BX67" s="9">
        <f t="shared" si="161"/>
        <v>0</v>
      </c>
      <c r="BY67" s="9">
        <f t="shared" si="162"/>
        <v>10</v>
      </c>
      <c r="BZ67" s="9" t="str">
        <f t="shared" si="163"/>
        <v>-</v>
      </c>
      <c r="CA67" s="9" t="str">
        <f t="shared" si="164"/>
        <v>-</v>
      </c>
      <c r="CB67" s="9">
        <f t="shared" si="165"/>
        <v>10</v>
      </c>
      <c r="CC67" s="9"/>
      <c r="CD67" s="9">
        <f t="shared" si="166"/>
        <v>10</v>
      </c>
      <c r="CE67" s="9" t="str">
        <f t="shared" si="167"/>
        <v>-</v>
      </c>
      <c r="CF67" s="9">
        <f t="shared" si="168"/>
        <v>10</v>
      </c>
      <c r="DJ67" s="9">
        <f t="shared" si="169"/>
        <v>10</v>
      </c>
      <c r="DK67" s="9"/>
      <c r="DL67" s="9">
        <f t="shared" si="170"/>
        <v>1</v>
      </c>
      <c r="DM67" s="9" t="str">
        <f t="shared" si="171"/>
        <v>10.1</v>
      </c>
      <c r="DN67" s="9">
        <f t="array" aca="1" ref="DN67" ca="1">OFFSET(Horarios!$P$3,DJ67-1,0,DL67,1)</f>
        <v>10</v>
      </c>
      <c r="DO67" s="9"/>
      <c r="DP67" s="9">
        <v>10</v>
      </c>
      <c r="DQ67" s="9" t="str">
        <f t="shared" si="172"/>
        <v>Jordan</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v>
      </c>
      <c r="H68" s="8" t="str">
        <f t="shared" ref="H68:H73" si="199">IF(D68="Pendiente","-",INDEX($BZ$6:$BZ$53,MATCH($AA68,$BD$6:$BD$53,0)))</f>
        <v>-</v>
      </c>
      <c r="I68" s="8" t="str">
        <f t="shared" ref="I68:I73" si="200">IF(D68="Pendiente","-",INDEX($BZ$6:$BZ$53,MATCH($AF68,$BD$6:$BD$53,0)))</f>
        <v>-</v>
      </c>
      <c r="K68" s="8" t="str">
        <f t="shared" ref="K68:K73" si="201">IF(D68="Pendiente","-",INDEX($CE$6:$CE$53,MATCH($AA68,$BD$6:$BD$53,0)))</f>
        <v>-</v>
      </c>
      <c r="L68" s="8" t="str">
        <f t="shared" ref="L68:L73" si="202">IF(D68="Pendiente","-",INDEX($CE$6:$CE$53,MATCH($AF68,$BD$6:$BD$53,0)))</f>
        <v>-</v>
      </c>
      <c r="N68" s="8" t="str">
        <f t="shared" ref="N68:N73" si="203">IF(D68="Pendiente","-",INDEX($CH$6:$CH$53,MATCH($AA68,$BD$6:$BD$53,0)))</f>
        <v>-</v>
      </c>
      <c r="O68" s="8" t="str">
        <f t="shared" ref="O68:O73" si="204">IF(D68="Pendiente","-",INDEX($CH$6:$CH$53,MATCH($AF68,$BD$6:$BD$53,0)))</f>
        <v>-</v>
      </c>
      <c r="Q68" s="8" t="str">
        <f t="shared" ref="Q68:Q73" si="205">IF(D68="Pendiente","-",INDEX($CN$6:$CN$53,MATCH($AA68,$BD$6:$BD$53,0)))</f>
        <v>-</v>
      </c>
      <c r="R68" s="8" t="str">
        <f t="shared" ref="R68:R73" si="206">IF(D68="Pendiente","-",INDEX($CN$6:$CN$53,MATCH($AF68,$BD$6:$BD$53,0)))</f>
        <v>-</v>
      </c>
      <c r="T68" s="8" t="str">
        <f t="shared" ref="T68:T73" si="207">IF(D68="Pendiente","-",INDEX($CS$6:$CS$53,MATCH($AA68,$BD$6:$BD$53,0)))</f>
        <v>-</v>
      </c>
      <c r="U68" s="8" t="str">
        <f t="shared" ref="U68:U73" si="208">IF(D68="Pendiente","-",INDEX($CS$6:$CS$53,MATCH($AF68,$BD$6:$BD$53,0)))</f>
        <v>-</v>
      </c>
      <c r="V68" s="379"/>
      <c r="W68" s="639" t="s">
        <v>131</v>
      </c>
      <c r="X68" s="397">
        <f>Horarios!C68</f>
        <v>46189.625</v>
      </c>
      <c r="Y68" s="398">
        <f>Horarios!C68</f>
        <v>46189.625</v>
      </c>
      <c r="Z68" s="399" t="str">
        <f>$Z$4</f>
        <v>R1</v>
      </c>
      <c r="AA68" s="400" t="str">
        <f>A69</f>
        <v>France</v>
      </c>
      <c r="AB68" s="401" t="str">
        <f t="array" aca="1" ref="AB68" ca="1">Ver_flag_local</f>
        <v/>
      </c>
      <c r="AC68" s="15">
        <v>3</v>
      </c>
      <c r="AD68" s="16">
        <v>0</v>
      </c>
      <c r="AE68" s="402" t="str">
        <f t="array" aca="1" ref="AE68" ca="1">Ver_flag_visit</f>
        <v/>
      </c>
      <c r="AF68" s="403" t="str">
        <f>A70</f>
        <v>Senegal</v>
      </c>
      <c r="AG68" s="404">
        <f t="shared" ref="AG68:AG73" si="209">IF(NOT(OR(ISBLANK(AC68),ISBLANK(AD68))),1,0)</f>
        <v>1</v>
      </c>
      <c r="AH68" s="405">
        <v>17</v>
      </c>
      <c r="AI68" s="406"/>
      <c r="AJ68" s="407" t="str">
        <f>CONCATENATE(AJ3," ",B68)</f>
        <v>Group I</v>
      </c>
      <c r="AK68" s="408"/>
      <c r="AL68" s="408"/>
      <c r="AM68" s="408"/>
      <c r="AN68" s="408"/>
      <c r="AO68" s="408"/>
      <c r="AP68" s="408"/>
      <c r="AQ68" s="408"/>
      <c r="AR68" s="408"/>
      <c r="AS68" s="408"/>
      <c r="AT68" s="409"/>
      <c r="AU68" s="467"/>
      <c r="AV68" s="410" t="str">
        <f>IF(AU69&gt;0,$AV$3,"")</f>
        <v/>
      </c>
      <c r="AW68" s="471"/>
      <c r="AX68" s="471"/>
      <c r="AY68" s="454"/>
      <c r="AZ68" s="455"/>
      <c r="BA68" s="378"/>
      <c r="BB68" s="9" t="str">
        <f t="shared" si="173"/>
        <v>3K</v>
      </c>
      <c r="BC68" s="9" t="s">
        <v>133</v>
      </c>
      <c r="BD68" s="9" t="str">
        <f t="shared" si="149"/>
        <v>DR Congo</v>
      </c>
      <c r="BE68" s="9">
        <f t="shared" si="193"/>
        <v>1</v>
      </c>
      <c r="BF68" s="9">
        <f t="shared" si="150"/>
        <v>3</v>
      </c>
      <c r="BG68" s="9">
        <f t="shared" si="174"/>
        <v>0</v>
      </c>
      <c r="BH68" s="9">
        <f t="shared" si="175"/>
        <v>1</v>
      </c>
      <c r="BI68" s="9">
        <f t="shared" si="176"/>
        <v>2</v>
      </c>
      <c r="BJ68" s="9">
        <f t="shared" si="177"/>
        <v>2</v>
      </c>
      <c r="BK68" s="9">
        <f t="shared" si="178"/>
        <v>6</v>
      </c>
      <c r="BL68" s="9">
        <f t="shared" si="151"/>
        <v>-4</v>
      </c>
      <c r="BM68" s="9">
        <f t="shared" si="152"/>
        <v>11</v>
      </c>
      <c r="BN68" s="9">
        <f t="shared" si="153"/>
        <v>11</v>
      </c>
      <c r="BO68" s="9" t="str">
        <f t="shared" si="154"/>
        <v>4K</v>
      </c>
      <c r="BP68" s="9"/>
      <c r="BQ68" s="9"/>
      <c r="BR68" s="9">
        <f t="shared" si="155"/>
        <v>1</v>
      </c>
      <c r="BS68" s="9">
        <f t="shared" si="156"/>
        <v>8</v>
      </c>
      <c r="BT68" s="9" t="str">
        <f t="shared" si="157"/>
        <v>Pos. 8 (5)</v>
      </c>
      <c r="BU68" s="9">
        <f t="shared" si="158"/>
        <v>-4</v>
      </c>
      <c r="BV68" s="9">
        <f t="shared" si="159"/>
        <v>11</v>
      </c>
      <c r="BW68" s="9" t="str">
        <f t="shared" si="160"/>
        <v>Pos. 11 (2)</v>
      </c>
      <c r="BX68" s="9">
        <f t="shared" si="161"/>
        <v>2</v>
      </c>
      <c r="BY68" s="9">
        <f t="shared" si="162"/>
        <v>11</v>
      </c>
      <c r="BZ68" s="9" t="str">
        <f t="shared" si="163"/>
        <v>-</v>
      </c>
      <c r="CA68" s="9" t="str">
        <f t="shared" si="164"/>
        <v>-</v>
      </c>
      <c r="CB68" s="9">
        <f t="shared" si="165"/>
        <v>11</v>
      </c>
      <c r="CC68" s="9"/>
      <c r="CD68" s="9">
        <f t="shared" si="166"/>
        <v>11</v>
      </c>
      <c r="CE68" s="9" t="str">
        <f t="shared" si="167"/>
        <v>-</v>
      </c>
      <c r="CF68" s="9">
        <f t="shared" si="168"/>
        <v>11</v>
      </c>
      <c r="DJ68" s="9">
        <f t="shared" si="169"/>
        <v>11</v>
      </c>
      <c r="DK68" s="9"/>
      <c r="DL68" s="9">
        <f t="shared" si="170"/>
        <v>1</v>
      </c>
      <c r="DM68" s="9" t="str">
        <f t="shared" si="171"/>
        <v>11.1</v>
      </c>
      <c r="DN68" s="9">
        <f t="array" aca="1" ref="DN68" ca="1">OFFSET(Horarios!$P$3,DJ68-1,0,DL68,1)</f>
        <v>11</v>
      </c>
      <c r="DO68" s="9"/>
      <c r="DP68" s="9">
        <v>11</v>
      </c>
      <c r="DQ68" s="9" t="str">
        <f t="shared" si="172"/>
        <v>DR Congo</v>
      </c>
    </row>
    <row r="69" spans="1:121" ht="16.149999999999999" customHeight="1">
      <c r="A69" s="8" t="str">
        <f>+Equipos!B34</f>
        <v>France</v>
      </c>
      <c r="D69" s="8" t="str">
        <f t="shared" si="196"/>
        <v>Visitante</v>
      </c>
      <c r="E69" s="8" t="str">
        <f t="shared" si="197"/>
        <v>-</v>
      </c>
      <c r="F69" s="8" t="str">
        <f t="shared" si="198"/>
        <v>-</v>
      </c>
      <c r="H69" s="8" t="str">
        <f t="shared" si="199"/>
        <v>-</v>
      </c>
      <c r="I69" s="8" t="str">
        <f t="shared" si="200"/>
        <v>-</v>
      </c>
      <c r="K69" s="8" t="str">
        <f t="shared" si="201"/>
        <v>-</v>
      </c>
      <c r="L69" s="8" t="str">
        <f t="shared" si="202"/>
        <v>-</v>
      </c>
      <c r="N69" s="8" t="str">
        <f t="shared" si="203"/>
        <v>-</v>
      </c>
      <c r="O69" s="8" t="str">
        <f t="shared" si="204"/>
        <v>-</v>
      </c>
      <c r="Q69" s="8" t="str">
        <f t="shared" si="205"/>
        <v>-</v>
      </c>
      <c r="R69" s="8" t="str">
        <f t="shared" si="206"/>
        <v>-</v>
      </c>
      <c r="T69" s="8" t="str">
        <f t="shared" si="207"/>
        <v>-</v>
      </c>
      <c r="U69" s="8" t="str">
        <f t="shared" si="208"/>
        <v>-</v>
      </c>
      <c r="V69" s="379"/>
      <c r="W69" s="607"/>
      <c r="X69" s="397">
        <f>Horarios!C69</f>
        <v>46189.75</v>
      </c>
      <c r="Y69" s="398">
        <f>Horarios!C69</f>
        <v>46189.75</v>
      </c>
      <c r="Z69" s="399" t="str">
        <f>$Z$4</f>
        <v>R1</v>
      </c>
      <c r="AA69" s="400" t="str">
        <f>A71</f>
        <v>Iraq</v>
      </c>
      <c r="AB69" s="401" t="str">
        <f t="array" aca="1" ref="AB69" ca="1">Ver_flag_local</f>
        <v/>
      </c>
      <c r="AC69" s="15">
        <v>0</v>
      </c>
      <c r="AD69" s="16">
        <v>1</v>
      </c>
      <c r="AE69" s="402" t="str">
        <f t="array" aca="1" ref="AE69" ca="1">Ver_flag_visit</f>
        <v/>
      </c>
      <c r="AF69" s="403" t="str">
        <f>A72</f>
        <v>Norway</v>
      </c>
      <c r="AG69" s="404">
        <f t="shared" si="209"/>
        <v>1</v>
      </c>
      <c r="AH69" s="405">
        <v>18</v>
      </c>
      <c r="AI69" s="406"/>
      <c r="AJ69" s="412" t="str">
        <f>AJ5</f>
        <v>Pos</v>
      </c>
      <c r="AK69" s="413"/>
      <c r="AL69" s="414" t="str">
        <f t="shared" ref="AL69:AT69" si="210">AL5</f>
        <v>Nation</v>
      </c>
      <c r="AM69" s="413" t="str">
        <f t="shared" si="210"/>
        <v>Pts</v>
      </c>
      <c r="AN69" s="413" t="str">
        <f t="shared" si="210"/>
        <v>P</v>
      </c>
      <c r="AO69" s="413" t="str">
        <f t="shared" si="210"/>
        <v>W</v>
      </c>
      <c r="AP69" s="413" t="str">
        <f t="shared" si="210"/>
        <v>D</v>
      </c>
      <c r="AQ69" s="413" t="str">
        <f t="shared" si="210"/>
        <v>L</v>
      </c>
      <c r="AR69" s="413" t="str">
        <f t="shared" si="210"/>
        <v>F</v>
      </c>
      <c r="AS69" s="413" t="str">
        <f t="shared" si="210"/>
        <v>A</v>
      </c>
      <c r="AT69" s="415" t="str">
        <f t="shared" si="210"/>
        <v>GD</v>
      </c>
      <c r="AU69" s="467">
        <f>COUNTIF(AU70:AU73,"&gt;1")</f>
        <v>0</v>
      </c>
      <c r="AV69" s="416"/>
      <c r="AW69" s="471"/>
      <c r="AX69" s="471"/>
      <c r="AY69" s="417" t="str">
        <f>AL69</f>
        <v>Nation</v>
      </c>
      <c r="AZ69" s="418" t="str">
        <f>+Idiomas!$D$67</f>
        <v>Deducted Points</v>
      </c>
      <c r="BA69" s="378"/>
      <c r="BB69" s="9" t="str">
        <f t="shared" si="173"/>
        <v>3L</v>
      </c>
      <c r="BC69" s="9" t="s">
        <v>134</v>
      </c>
      <c r="BD69" s="9" t="str">
        <f t="shared" si="149"/>
        <v>Ghana</v>
      </c>
      <c r="BE69" s="9">
        <f t="shared" si="193"/>
        <v>3</v>
      </c>
      <c r="BF69" s="9">
        <f t="shared" si="150"/>
        <v>3</v>
      </c>
      <c r="BG69" s="9">
        <f t="shared" si="174"/>
        <v>1</v>
      </c>
      <c r="BH69" s="9">
        <f t="shared" si="175"/>
        <v>0</v>
      </c>
      <c r="BI69" s="9">
        <f t="shared" si="176"/>
        <v>2</v>
      </c>
      <c r="BJ69" s="9">
        <f t="shared" si="177"/>
        <v>4</v>
      </c>
      <c r="BK69" s="9">
        <f t="shared" si="178"/>
        <v>4</v>
      </c>
      <c r="BL69" s="9">
        <f t="shared" si="151"/>
        <v>0</v>
      </c>
      <c r="BM69" s="9">
        <f t="shared" si="152"/>
        <v>2</v>
      </c>
      <c r="BN69" s="9">
        <f t="shared" si="153"/>
        <v>2</v>
      </c>
      <c r="BO69" s="9" t="str">
        <f t="shared" si="154"/>
        <v>4L</v>
      </c>
      <c r="BP69" s="9"/>
      <c r="BQ69" s="9"/>
      <c r="BR69" s="9">
        <f t="shared" si="155"/>
        <v>3</v>
      </c>
      <c r="BS69" s="9">
        <f t="shared" si="156"/>
        <v>2</v>
      </c>
      <c r="BT69" s="9" t="str">
        <f t="shared" si="157"/>
        <v>Pos. 2 (6)</v>
      </c>
      <c r="BU69" s="9">
        <f t="shared" si="158"/>
        <v>0</v>
      </c>
      <c r="BV69" s="9">
        <f t="shared" si="159"/>
        <v>2</v>
      </c>
      <c r="BW69" s="9" t="str">
        <f t="shared" si="160"/>
        <v>-</v>
      </c>
      <c r="BX69" s="9" t="str">
        <f t="shared" si="161"/>
        <v>-</v>
      </c>
      <c r="BY69" s="9">
        <f t="shared" si="162"/>
        <v>2</v>
      </c>
      <c r="BZ69" s="9" t="str">
        <f t="shared" si="163"/>
        <v>-</v>
      </c>
      <c r="CA69" s="9" t="str">
        <f t="shared" si="164"/>
        <v>-</v>
      </c>
      <c r="CB69" s="9">
        <f t="shared" si="165"/>
        <v>2</v>
      </c>
      <c r="CC69" s="9"/>
      <c r="CD69" s="9">
        <f t="shared" si="166"/>
        <v>2</v>
      </c>
      <c r="CE69" s="9" t="str">
        <f t="shared" si="167"/>
        <v>-</v>
      </c>
      <c r="CF69" s="9">
        <f t="shared" si="168"/>
        <v>2</v>
      </c>
      <c r="DJ69" s="9">
        <f t="shared" si="169"/>
        <v>12</v>
      </c>
      <c r="DK69" s="9"/>
      <c r="DL69" s="9">
        <f t="shared" si="170"/>
        <v>1</v>
      </c>
      <c r="DM69" s="9" t="str">
        <f t="shared" si="171"/>
        <v>12.1</v>
      </c>
      <c r="DN69" s="9">
        <f t="array" aca="1" ref="DN69" ca="1">OFFSET(Horarios!$P$3,DJ69-1,0,DL69,1)</f>
        <v>12</v>
      </c>
      <c r="DO69" s="9"/>
      <c r="DP69" s="9">
        <v>12</v>
      </c>
      <c r="DQ69" s="9" t="str">
        <f t="shared" si="172"/>
        <v>Saudi Arabia</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79"/>
      <c r="W70" s="607"/>
      <c r="X70" s="397">
        <f>Horarios!C70</f>
        <v>46195.708333333343</v>
      </c>
      <c r="Y70" s="398">
        <f>Horarios!C70</f>
        <v>46195.708333333343</v>
      </c>
      <c r="Z70" s="399" t="str">
        <f>$Z$6</f>
        <v>R2</v>
      </c>
      <c r="AA70" s="400" t="str">
        <f>A69</f>
        <v>France</v>
      </c>
      <c r="AB70" s="401" t="str">
        <f t="array" aca="1" ref="AB70" ca="1">Ver_flag_local</f>
        <v/>
      </c>
      <c r="AC70" s="15">
        <v>4</v>
      </c>
      <c r="AD70" s="16">
        <v>0</v>
      </c>
      <c r="AE70" s="402" t="str">
        <f t="array" aca="1" ref="AE70" ca="1">Ver_flag_visit</f>
        <v/>
      </c>
      <c r="AF70" s="403" t="str">
        <f>A71</f>
        <v>Iraq</v>
      </c>
      <c r="AG70" s="404">
        <f t="shared" si="209"/>
        <v>1</v>
      </c>
      <c r="AH70" s="405">
        <v>42</v>
      </c>
      <c r="AI70" s="406" t="str">
        <f>AJ70&amp;$B$68</f>
        <v>1I</v>
      </c>
      <c r="AJ70" s="419">
        <v>1</v>
      </c>
      <c r="AK70" s="473" t="str">
        <f t="array" aca="1" ref="AK70" ca="1">Ver_flag_visit</f>
        <v/>
      </c>
      <c r="AL70" s="421" t="str">
        <f>IFERROR(INDEX($BD$6:$BD$53,MATCH(AI70,$BN$6:$BN$53,0)),"")</f>
        <v>France</v>
      </c>
      <c r="AM70" s="422">
        <f t="shared" ref="AM70:AT73" si="211">INDEX($BE$6:$BN$53,MATCH($AL70,$BD$6:$BD$53,0),MATCH(AM$5,$BE$5:$BN$5,0))</f>
        <v>9</v>
      </c>
      <c r="AN70" s="423">
        <f t="shared" si="211"/>
        <v>3</v>
      </c>
      <c r="AO70" s="423">
        <f t="shared" si="211"/>
        <v>3</v>
      </c>
      <c r="AP70" s="423">
        <f t="shared" si="211"/>
        <v>0</v>
      </c>
      <c r="AQ70" s="423">
        <f t="shared" si="211"/>
        <v>0</v>
      </c>
      <c r="AR70" s="423">
        <f t="shared" si="211"/>
        <v>9</v>
      </c>
      <c r="AS70" s="423">
        <f t="shared" si="211"/>
        <v>1</v>
      </c>
      <c r="AT70" s="424">
        <f t="shared" si="211"/>
        <v>8</v>
      </c>
      <c r="AU70" s="425">
        <f>INDEX($DL$6:$DL$53,MATCH(AI70,$DP$6:$DP$53,0))</f>
        <v>1</v>
      </c>
      <c r="AV70" s="426" t="str">
        <f>INDEX($BD$6:$BD$53,MATCH(AI70,$BM$6:$BM$53,0))</f>
        <v>France</v>
      </c>
      <c r="AW70" s="579"/>
      <c r="AX70" s="428"/>
      <c r="AY70" s="429" t="str">
        <f>+A69</f>
        <v>France</v>
      </c>
      <c r="AZ70" s="430"/>
      <c r="BA70" s="378"/>
      <c r="DN70" s="9"/>
    </row>
    <row r="71" spans="1:121" ht="16.149999999999999" customHeight="1">
      <c r="A71" s="8" t="str">
        <f>+Equipos!B36</f>
        <v>Iraq</v>
      </c>
      <c r="D71" s="8" t="str">
        <f t="shared" si="196"/>
        <v>Local</v>
      </c>
      <c r="E71" s="8" t="str">
        <f t="shared" si="197"/>
        <v>-</v>
      </c>
      <c r="F71" s="8" t="str">
        <f t="shared" si="198"/>
        <v>-</v>
      </c>
      <c r="H71" s="8" t="str">
        <f t="shared" si="199"/>
        <v>-</v>
      </c>
      <c r="I71" s="8" t="str">
        <f t="shared" si="200"/>
        <v>-</v>
      </c>
      <c r="K71" s="8" t="str">
        <f t="shared" si="201"/>
        <v>-</v>
      </c>
      <c r="L71" s="8" t="str">
        <f t="shared" si="202"/>
        <v>-</v>
      </c>
      <c r="N71" s="8" t="str">
        <f t="shared" si="203"/>
        <v>-</v>
      </c>
      <c r="O71" s="8" t="str">
        <f t="shared" si="204"/>
        <v>-</v>
      </c>
      <c r="Q71" s="8" t="str">
        <f t="shared" si="205"/>
        <v>-</v>
      </c>
      <c r="R71" s="8" t="str">
        <f t="shared" si="206"/>
        <v>-</v>
      </c>
      <c r="T71" s="8" t="str">
        <f t="shared" si="207"/>
        <v>-</v>
      </c>
      <c r="U71" s="8" t="str">
        <f t="shared" si="208"/>
        <v>-</v>
      </c>
      <c r="V71" s="379"/>
      <c r="W71" s="607"/>
      <c r="X71" s="397">
        <f>Horarios!C71</f>
        <v>46195.833333333343</v>
      </c>
      <c r="Y71" s="398">
        <f>Horarios!C71</f>
        <v>46195.833333333343</v>
      </c>
      <c r="Z71" s="399" t="str">
        <f>$Z$6</f>
        <v>R2</v>
      </c>
      <c r="AA71" s="400" t="str">
        <f>A72</f>
        <v>Norway</v>
      </c>
      <c r="AB71" s="401" t="str">
        <f t="array" aca="1" ref="AB71" ca="1">Ver_flag_local</f>
        <v/>
      </c>
      <c r="AC71" s="15">
        <v>2</v>
      </c>
      <c r="AD71" s="16">
        <v>0</v>
      </c>
      <c r="AE71" s="402" t="str">
        <f t="array" aca="1" ref="AE71" ca="1">Ver_flag_visit</f>
        <v/>
      </c>
      <c r="AF71" s="403" t="str">
        <f>A70</f>
        <v>Senegal</v>
      </c>
      <c r="AG71" s="404">
        <f t="shared" si="209"/>
        <v>1</v>
      </c>
      <c r="AH71" s="405">
        <v>41</v>
      </c>
      <c r="AI71" s="406" t="str">
        <f>AJ71&amp;$B$68</f>
        <v>2I</v>
      </c>
      <c r="AJ71" s="431">
        <v>2</v>
      </c>
      <c r="AK71" s="476" t="str">
        <f t="array" aca="1" ref="AK71" ca="1">Ver_flag_visit</f>
        <v/>
      </c>
      <c r="AL71" s="433" t="str">
        <f>IFERROR(INDEX($BD$6:$BD$53,MATCH(AI71,$BN$6:$BN$53,0)),"")</f>
        <v>Norway</v>
      </c>
      <c r="AM71" s="434">
        <f t="shared" si="211"/>
        <v>6</v>
      </c>
      <c r="AN71" s="435">
        <f t="shared" si="211"/>
        <v>3</v>
      </c>
      <c r="AO71" s="435">
        <f t="shared" si="211"/>
        <v>2</v>
      </c>
      <c r="AP71" s="435">
        <f t="shared" si="211"/>
        <v>0</v>
      </c>
      <c r="AQ71" s="435">
        <f t="shared" si="211"/>
        <v>1</v>
      </c>
      <c r="AR71" s="435">
        <f t="shared" si="211"/>
        <v>4</v>
      </c>
      <c r="AS71" s="435">
        <f t="shared" si="211"/>
        <v>2</v>
      </c>
      <c r="AT71" s="436">
        <f t="shared" si="211"/>
        <v>2</v>
      </c>
      <c r="AU71" s="425">
        <f>INDEX($DL$6:$DL$53,MATCH(AI71,$DP$6:$DP$53,0))</f>
        <v>1</v>
      </c>
      <c r="AV71" s="426" t="str">
        <f>INDEX($BD$6:$BD$53,MATCH(AI71,$BM$6:$BM$53,0))</f>
        <v>Norway</v>
      </c>
      <c r="AW71" s="579"/>
      <c r="AX71" s="428"/>
      <c r="AY71" s="437" t="str">
        <f>+A70</f>
        <v>Senegal</v>
      </c>
      <c r="AZ71" s="438"/>
      <c r="BA71" s="378"/>
      <c r="DN71" s="9"/>
    </row>
    <row r="72" spans="1:121" ht="16.149999999999999" customHeight="1">
      <c r="A72" s="8" t="str">
        <f>+Equipos!B37</f>
        <v>Norway</v>
      </c>
      <c r="D72" s="8" t="str">
        <f t="shared" si="196"/>
        <v>Visitante</v>
      </c>
      <c r="E72" s="8" t="str">
        <f t="shared" si="197"/>
        <v>-</v>
      </c>
      <c r="F72" s="8" t="str">
        <f t="shared" si="198"/>
        <v>-</v>
      </c>
      <c r="H72" s="8" t="str">
        <f t="shared" si="199"/>
        <v>-</v>
      </c>
      <c r="I72" s="8" t="str">
        <f t="shared" si="200"/>
        <v>-</v>
      </c>
      <c r="K72" s="8" t="str">
        <f t="shared" si="201"/>
        <v>-</v>
      </c>
      <c r="L72" s="8" t="str">
        <f t="shared" si="202"/>
        <v>-</v>
      </c>
      <c r="N72" s="8" t="str">
        <f t="shared" si="203"/>
        <v>-</v>
      </c>
      <c r="O72" s="8" t="str">
        <f t="shared" si="204"/>
        <v>-</v>
      </c>
      <c r="Q72" s="8" t="str">
        <f t="shared" si="205"/>
        <v>-</v>
      </c>
      <c r="R72" s="8" t="str">
        <f t="shared" si="206"/>
        <v>-</v>
      </c>
      <c r="T72" s="8" t="str">
        <f t="shared" si="207"/>
        <v>-</v>
      </c>
      <c r="U72" s="8" t="str">
        <f t="shared" si="208"/>
        <v>-</v>
      </c>
      <c r="V72" s="379"/>
      <c r="W72" s="607"/>
      <c r="X72" s="397">
        <f>Horarios!C72</f>
        <v>46199.625</v>
      </c>
      <c r="Y72" s="398">
        <f>Horarios!C72</f>
        <v>46199.625</v>
      </c>
      <c r="Z72" s="399" t="str">
        <f>$Z$8</f>
        <v>R3</v>
      </c>
      <c r="AA72" s="400" t="str">
        <f>A72</f>
        <v>Norway</v>
      </c>
      <c r="AB72" s="401" t="str">
        <f t="array" aca="1" ref="AB72" ca="1">Ver_flag_local</f>
        <v/>
      </c>
      <c r="AC72" s="15">
        <v>1</v>
      </c>
      <c r="AD72" s="16">
        <v>2</v>
      </c>
      <c r="AE72" s="402" t="str">
        <f t="array" aca="1" ref="AE72" ca="1">Ver_flag_visit</f>
        <v/>
      </c>
      <c r="AF72" s="403" t="str">
        <f>A69</f>
        <v>France</v>
      </c>
      <c r="AG72" s="404">
        <f t="shared" si="209"/>
        <v>1</v>
      </c>
      <c r="AH72" s="405">
        <v>61</v>
      </c>
      <c r="AI72" s="406" t="str">
        <f>AJ72&amp;$B$68</f>
        <v>3I</v>
      </c>
      <c r="AJ72" s="431">
        <v>3</v>
      </c>
      <c r="AK72" s="476" t="str">
        <f t="array" aca="1" ref="AK72" ca="1">Ver_flag_visit</f>
        <v/>
      </c>
      <c r="AL72" s="433" t="str">
        <f>IFERROR(INDEX($BD$6:$BD$53,MATCH(AI72,$BN$6:$BN$53,0)),"")</f>
        <v>Senegal</v>
      </c>
      <c r="AM72" s="434">
        <f t="shared" si="211"/>
        <v>3</v>
      </c>
      <c r="AN72" s="435">
        <f t="shared" si="211"/>
        <v>3</v>
      </c>
      <c r="AO72" s="435">
        <f t="shared" si="211"/>
        <v>1</v>
      </c>
      <c r="AP72" s="435">
        <f t="shared" si="211"/>
        <v>0</v>
      </c>
      <c r="AQ72" s="435">
        <f t="shared" si="211"/>
        <v>2</v>
      </c>
      <c r="AR72" s="435">
        <f t="shared" si="211"/>
        <v>1</v>
      </c>
      <c r="AS72" s="435">
        <f t="shared" si="211"/>
        <v>5</v>
      </c>
      <c r="AT72" s="436">
        <f t="shared" si="211"/>
        <v>-4</v>
      </c>
      <c r="AU72" s="425">
        <f>INDEX($DL$6:$DL$53,MATCH(AI72,$DP$6:$DP$53,0))</f>
        <v>1</v>
      </c>
      <c r="AV72" s="426" t="str">
        <f>INDEX($BD$6:$BD$53,MATCH(AI72,$BM$6:$BM$53,0))</f>
        <v>Senegal</v>
      </c>
      <c r="AW72" s="579"/>
      <c r="AX72" s="428"/>
      <c r="AY72" s="429" t="str">
        <f>+A71</f>
        <v>Iraq</v>
      </c>
      <c r="AZ72" s="430"/>
      <c r="BA72" s="378"/>
      <c r="DN72" s="9"/>
    </row>
    <row r="73" spans="1:121" ht="16.149999999999999" customHeight="1" thickBot="1">
      <c r="D73" s="8" t="str">
        <f t="shared" si="196"/>
        <v>Local</v>
      </c>
      <c r="E73" s="8" t="str">
        <f t="shared" si="197"/>
        <v>-</v>
      </c>
      <c r="F73" s="8" t="str">
        <f t="shared" si="198"/>
        <v>-</v>
      </c>
      <c r="H73" s="8" t="str">
        <f t="shared" si="199"/>
        <v>-</v>
      </c>
      <c r="I73" s="8" t="str">
        <f t="shared" si="200"/>
        <v>-</v>
      </c>
      <c r="K73" s="8" t="str">
        <f t="shared" si="201"/>
        <v>-</v>
      </c>
      <c r="L73" s="8" t="str">
        <f t="shared" si="202"/>
        <v>-</v>
      </c>
      <c r="N73" s="8" t="str">
        <f t="shared" si="203"/>
        <v>-</v>
      </c>
      <c r="O73" s="8" t="str">
        <f t="shared" si="204"/>
        <v>-</v>
      </c>
      <c r="Q73" s="8" t="str">
        <f t="shared" si="205"/>
        <v>-</v>
      </c>
      <c r="R73" s="8" t="str">
        <f t="shared" si="206"/>
        <v>-</v>
      </c>
      <c r="T73" s="8" t="str">
        <f t="shared" si="207"/>
        <v>-</v>
      </c>
      <c r="U73" s="8" t="str">
        <f t="shared" si="208"/>
        <v>-</v>
      </c>
      <c r="V73" s="379"/>
      <c r="W73" s="608"/>
      <c r="X73" s="439">
        <f>Horarios!C73</f>
        <v>46199.625</v>
      </c>
      <c r="Y73" s="440">
        <f>Horarios!C73</f>
        <v>46199.625</v>
      </c>
      <c r="Z73" s="441" t="str">
        <f>$Z$8</f>
        <v>R3</v>
      </c>
      <c r="AA73" s="442" t="str">
        <f>A70</f>
        <v>Senegal</v>
      </c>
      <c r="AB73" s="443" t="str">
        <f t="array" aca="1" ref="AB73" ca="1">Ver_flag_local</f>
        <v/>
      </c>
      <c r="AC73" s="17">
        <v>1</v>
      </c>
      <c r="AD73" s="18">
        <v>0</v>
      </c>
      <c r="AE73" s="444" t="str">
        <f t="array" aca="1" ref="AE73" ca="1">Ver_flag_visit</f>
        <v/>
      </c>
      <c r="AF73" s="445" t="str">
        <f>A71</f>
        <v>Iraq</v>
      </c>
      <c r="AG73" s="404">
        <f t="shared" si="209"/>
        <v>1</v>
      </c>
      <c r="AH73" s="405">
        <v>62</v>
      </c>
      <c r="AI73" s="406" t="str">
        <f>AJ73&amp;$B$68</f>
        <v>4I</v>
      </c>
      <c r="AJ73" s="446">
        <v>4</v>
      </c>
      <c r="AK73" s="485" t="str">
        <f t="array" aca="1" ref="AK73" ca="1">Ver_flag_visit</f>
        <v/>
      </c>
      <c r="AL73" s="448" t="str">
        <f>IFERROR(INDEX($BD$6:$BD$53,MATCH(AI73,$BN$6:$BN$53,0)),"")</f>
        <v>Iraq</v>
      </c>
      <c r="AM73" s="449">
        <f t="shared" si="211"/>
        <v>0</v>
      </c>
      <c r="AN73" s="450">
        <f t="shared" si="211"/>
        <v>3</v>
      </c>
      <c r="AO73" s="450">
        <f t="shared" si="211"/>
        <v>0</v>
      </c>
      <c r="AP73" s="450">
        <f t="shared" si="211"/>
        <v>0</v>
      </c>
      <c r="AQ73" s="450">
        <f t="shared" si="211"/>
        <v>3</v>
      </c>
      <c r="AR73" s="450">
        <f t="shared" si="211"/>
        <v>0</v>
      </c>
      <c r="AS73" s="450">
        <f t="shared" si="211"/>
        <v>6</v>
      </c>
      <c r="AT73" s="451">
        <f t="shared" si="211"/>
        <v>-6</v>
      </c>
      <c r="AU73" s="425">
        <f>INDEX($DL$6:$DL$53,MATCH(AI73,$DP$6:$DP$53,0))</f>
        <v>1</v>
      </c>
      <c r="AV73" s="426" t="str">
        <f>INDEX($BD$6:$BD$53,MATCH(AI73,$BM$6:$BM$53,0))</f>
        <v>Iraq</v>
      </c>
      <c r="AW73" s="579"/>
      <c r="AX73" s="428"/>
      <c r="AY73" s="452" t="str">
        <f>+A72</f>
        <v>Norway</v>
      </c>
      <c r="AZ73" s="453"/>
      <c r="BA73" s="378"/>
      <c r="DN73" s="9"/>
    </row>
    <row r="74" spans="1:121" ht="16.149999999999999" customHeight="1" thickBot="1">
      <c r="V74" s="379"/>
      <c r="W74" s="454"/>
      <c r="X74" s="455"/>
      <c r="Y74" s="454"/>
      <c r="Z74" s="456"/>
      <c r="AA74" s="457"/>
      <c r="AB74" s="458"/>
      <c r="AC74" s="459"/>
      <c r="AD74" s="459"/>
      <c r="AE74" s="458"/>
      <c r="AF74" s="460"/>
      <c r="AG74" s="484"/>
      <c r="AH74" s="405"/>
      <c r="AI74" s="374"/>
      <c r="AJ74" s="461"/>
      <c r="AK74" s="462"/>
      <c r="AL74" s="395"/>
      <c r="AM74" s="463"/>
      <c r="AN74" s="461"/>
      <c r="AO74" s="461"/>
      <c r="AP74" s="461"/>
      <c r="AQ74" s="461"/>
      <c r="AR74" s="461"/>
      <c r="AS74" s="461"/>
      <c r="AT74" s="461"/>
      <c r="AU74" s="425"/>
      <c r="AV74" s="464"/>
      <c r="AW74" s="427"/>
      <c r="AX74" s="428"/>
      <c r="AY74" s="454"/>
      <c r="AZ74" s="455"/>
      <c r="BA74" s="378"/>
      <c r="DN74" s="9"/>
    </row>
    <row r="75" spans="1:121" ht="16.149999999999999" customHeight="1" thickBot="1">
      <c r="V75" s="379"/>
      <c r="W75" s="388"/>
      <c r="X75" s="389" t="str">
        <f>X3</f>
        <v>Date</v>
      </c>
      <c r="Y75" s="389" t="str">
        <f>Y3</f>
        <v>Hour</v>
      </c>
      <c r="Z75" s="390" t="str">
        <f>Z3</f>
        <v>R</v>
      </c>
      <c r="AA75" s="391" t="str">
        <f>AA3</f>
        <v>Home</v>
      </c>
      <c r="AB75" s="392"/>
      <c r="AC75" s="390" t="str">
        <f>AC3</f>
        <v>Goals</v>
      </c>
      <c r="AD75" s="390" t="str">
        <f>AD3</f>
        <v>Goals</v>
      </c>
      <c r="AE75" s="392"/>
      <c r="AF75" s="393" t="str">
        <f>AF3</f>
        <v>Away</v>
      </c>
      <c r="AG75" s="465"/>
      <c r="AH75" s="405"/>
      <c r="AI75" s="382"/>
      <c r="AJ75" s="395"/>
      <c r="AK75" s="466"/>
      <c r="AL75" s="395"/>
      <c r="AM75" s="395"/>
      <c r="AN75" s="395"/>
      <c r="AO75" s="395"/>
      <c r="AP75" s="395"/>
      <c r="AQ75" s="395"/>
      <c r="AR75" s="395"/>
      <c r="AS75" s="395"/>
      <c r="AT75" s="395"/>
      <c r="AU75" s="467"/>
      <c r="AV75" s="384"/>
      <c r="AW75" s="468"/>
      <c r="AX75" s="469"/>
      <c r="AY75" s="454"/>
      <c r="AZ75" s="455"/>
      <c r="BA75" s="378"/>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P.3 (2)</v>
      </c>
      <c r="H76" s="8" t="str">
        <f t="shared" ref="H76:H81" si="215">IF(D76="Pendiente","-",INDEX($BZ$6:$BZ$53,MATCH($AA76,$BD$6:$BD$53,0)))</f>
        <v>-</v>
      </c>
      <c r="I76" s="8" t="str">
        <f t="shared" ref="I76:I81" si="216">IF(D76="Pendiente","-",INDEX($BZ$6:$BZ$53,MATCH($AF76,$BD$6:$BD$53,0)))</f>
        <v>P.3 (2)</v>
      </c>
      <c r="K76" s="8" t="str">
        <f t="shared" ref="K76:K81" si="217">IF(D76="Pendiente","-",INDEX($CE$6:$CE$53,MATCH($AA76,$BD$6:$BD$53,0)))</f>
        <v>-</v>
      </c>
      <c r="L76" s="8" t="str">
        <f t="shared" ref="L76:L81" si="218">IF(D76="Pendiente","-",INDEX($CE$6:$CE$53,MATCH($AF76,$BD$6:$BD$53,0)))</f>
        <v>P.3 (2)</v>
      </c>
      <c r="N76" s="8" t="str">
        <f t="shared" ref="N76:N81" si="219">IF(D76="Pendiente","-",INDEX($CH$6:$CH$53,MATCH($AA76,$BD$6:$BD$53,0)))</f>
        <v>-</v>
      </c>
      <c r="O76" s="8" t="str">
        <f t="shared" ref="O76:O81" si="220">IF(D76="Pendiente","-",INDEX($CH$6:$CH$53,MATCH($AF76,$BD$6:$BD$53,0)))</f>
        <v>P.3 (2)</v>
      </c>
      <c r="Q76" s="8" t="str">
        <f t="shared" ref="Q76:Q81" si="221">IF(D76="Pendiente","-",INDEX($CN$6:$CN$53,MATCH($AA76,$BD$6:$BD$53,0)))</f>
        <v>-</v>
      </c>
      <c r="R76" s="8" t="str">
        <f t="shared" ref="R76:R81" si="222">IF(D76="Pendiente","-",INDEX($CN$6:$CN$53,MATCH($AF76,$BD$6:$BD$53,0)))</f>
        <v>P.3 (2)</v>
      </c>
      <c r="T76" s="8" t="str">
        <f t="shared" ref="T76:T81" si="223">IF(D76="Pendiente","-",INDEX($CS$6:$CS$53,MATCH($AA76,$BD$6:$BD$53,0)))</f>
        <v>-</v>
      </c>
      <c r="U76" s="8" t="str">
        <f t="shared" ref="U76:U81" si="224">IF(D76="Pendiente","-",INDEX($CS$6:$CS$53,MATCH($AF76,$BD$6:$BD$53,0)))</f>
        <v>P.3 (2)</v>
      </c>
      <c r="V76" s="379"/>
      <c r="W76" s="609" t="s">
        <v>132</v>
      </c>
      <c r="X76" s="397">
        <f>Horarios!C76</f>
        <v>46189.875</v>
      </c>
      <c r="Y76" s="398">
        <f>Horarios!C76</f>
        <v>46189.875</v>
      </c>
      <c r="Z76" s="399" t="str">
        <f>$Z$4</f>
        <v>R1</v>
      </c>
      <c r="AA76" s="400" t="str">
        <f>A77</f>
        <v>Argentina</v>
      </c>
      <c r="AB76" s="401" t="str">
        <f t="array" aca="1" ref="AB76" ca="1">Ver_flag_local</f>
        <v/>
      </c>
      <c r="AC76" s="15">
        <v>2</v>
      </c>
      <c r="AD76" s="16">
        <v>0</v>
      </c>
      <c r="AE76" s="402" t="str">
        <f t="array" aca="1" ref="AE76" ca="1">Ver_flag_visit</f>
        <v/>
      </c>
      <c r="AF76" s="403" t="str">
        <f>A78</f>
        <v>Algeria</v>
      </c>
      <c r="AG76" s="404">
        <f t="shared" ref="AG76:AG81" si="225">IF(NOT(OR(ISBLANK(AC76),ISBLANK(AD76))),1,0)</f>
        <v>1</v>
      </c>
      <c r="AH76" s="405">
        <v>19</v>
      </c>
      <c r="AI76" s="406"/>
      <c r="AJ76" s="407" t="str">
        <f>CONCATENATE(AJ3," ",B76)</f>
        <v>Group J</v>
      </c>
      <c r="AK76" s="408"/>
      <c r="AL76" s="408"/>
      <c r="AM76" s="408"/>
      <c r="AN76" s="408"/>
      <c r="AO76" s="408"/>
      <c r="AP76" s="408"/>
      <c r="AQ76" s="408"/>
      <c r="AR76" s="408"/>
      <c r="AS76" s="408"/>
      <c r="AT76" s="409"/>
      <c r="AU76" s="467"/>
      <c r="AV76" s="410" t="str">
        <f>IF(AU77&gt;0,$AV$3,"")</f>
        <v/>
      </c>
      <c r="AW76" s="471"/>
      <c r="AX76" s="471"/>
      <c r="AY76" s="454"/>
      <c r="AZ76" s="455"/>
      <c r="BA76" s="378"/>
      <c r="DN76" s="9"/>
    </row>
    <row r="77" spans="1:121" ht="16.149999999999999" customHeight="1">
      <c r="A77" s="8" t="str">
        <f>+Equipos!B38</f>
        <v>Argentina</v>
      </c>
      <c r="D77" s="8" t="str">
        <f t="shared" si="212"/>
        <v>Local</v>
      </c>
      <c r="E77" s="8" t="str">
        <f t="shared" si="213"/>
        <v>-</v>
      </c>
      <c r="F77" s="8" t="str">
        <f t="shared" si="214"/>
        <v>P.3 (2)</v>
      </c>
      <c r="H77" s="8" t="str">
        <f t="shared" si="215"/>
        <v>-</v>
      </c>
      <c r="I77" s="8" t="str">
        <f t="shared" si="216"/>
        <v>P.3 (2)</v>
      </c>
      <c r="K77" s="8" t="str">
        <f t="shared" si="217"/>
        <v>-</v>
      </c>
      <c r="L77" s="8" t="str">
        <f t="shared" si="218"/>
        <v>P.3 (2)</v>
      </c>
      <c r="N77" s="8" t="str">
        <f t="shared" si="219"/>
        <v>-</v>
      </c>
      <c r="O77" s="8" t="str">
        <f t="shared" si="220"/>
        <v>P.3 (2)</v>
      </c>
      <c r="Q77" s="8" t="str">
        <f t="shared" si="221"/>
        <v>-</v>
      </c>
      <c r="R77" s="8" t="str">
        <f t="shared" si="222"/>
        <v>P.3 (2)</v>
      </c>
      <c r="T77" s="8" t="str">
        <f t="shared" si="223"/>
        <v>-</v>
      </c>
      <c r="U77" s="8" t="str">
        <f t="shared" si="224"/>
        <v>P.3 (2)</v>
      </c>
      <c r="V77" s="379"/>
      <c r="W77" s="607"/>
      <c r="X77" s="397">
        <f>Horarios!C77</f>
        <v>46190</v>
      </c>
      <c r="Y77" s="398">
        <f>Horarios!C77</f>
        <v>46190</v>
      </c>
      <c r="Z77" s="399" t="str">
        <f>$Z$4</f>
        <v>R1</v>
      </c>
      <c r="AA77" s="400" t="str">
        <f>A79</f>
        <v>Austria</v>
      </c>
      <c r="AB77" s="401" t="str">
        <f t="array" aca="1" ref="AB77" ca="1">Ver_flag_local</f>
        <v/>
      </c>
      <c r="AC77" s="15">
        <v>1</v>
      </c>
      <c r="AD77" s="16">
        <v>0</v>
      </c>
      <c r="AE77" s="402" t="str">
        <f t="array" aca="1" ref="AE77" ca="1">Ver_flag_visit</f>
        <v/>
      </c>
      <c r="AF77" s="403" t="str">
        <f>A80</f>
        <v>Jordan</v>
      </c>
      <c r="AG77" s="404">
        <f t="shared" si="225"/>
        <v>1</v>
      </c>
      <c r="AH77" s="405">
        <v>20</v>
      </c>
      <c r="AI77" s="406"/>
      <c r="AJ77" s="412" t="str">
        <f>AJ5</f>
        <v>Pos</v>
      </c>
      <c r="AK77" s="413"/>
      <c r="AL77" s="414" t="str">
        <f t="shared" ref="AL77:AT77" si="226">AL5</f>
        <v>Nation</v>
      </c>
      <c r="AM77" s="413" t="str">
        <f t="shared" si="226"/>
        <v>Pts</v>
      </c>
      <c r="AN77" s="413" t="str">
        <f t="shared" si="226"/>
        <v>P</v>
      </c>
      <c r="AO77" s="413" t="str">
        <f t="shared" si="226"/>
        <v>W</v>
      </c>
      <c r="AP77" s="413" t="str">
        <f t="shared" si="226"/>
        <v>D</v>
      </c>
      <c r="AQ77" s="413" t="str">
        <f t="shared" si="226"/>
        <v>L</v>
      </c>
      <c r="AR77" s="413" t="str">
        <f t="shared" si="226"/>
        <v>F</v>
      </c>
      <c r="AS77" s="413" t="str">
        <f t="shared" si="226"/>
        <v>A</v>
      </c>
      <c r="AT77" s="415" t="str">
        <f t="shared" si="226"/>
        <v>GD</v>
      </c>
      <c r="AU77" s="467">
        <f>COUNTIF(AU78:AU81,"&gt;1")</f>
        <v>0</v>
      </c>
      <c r="AV77" s="416"/>
      <c r="AW77" s="471"/>
      <c r="AX77" s="471"/>
      <c r="AY77" s="417" t="str">
        <f>AL77</f>
        <v>Nation</v>
      </c>
      <c r="AZ77" s="418" t="str">
        <f>+Idiomas!$D$67</f>
        <v>Deducted Points</v>
      </c>
      <c r="BA77" s="378"/>
      <c r="DN77" s="9"/>
    </row>
    <row r="78" spans="1:121" ht="16.149999999999999" customHeight="1">
      <c r="A78" s="8" t="str">
        <f>+Equipos!B39</f>
        <v>Algeria</v>
      </c>
      <c r="D78" s="8" t="str">
        <f t="shared" si="212"/>
        <v>Local</v>
      </c>
      <c r="E78" s="8" t="str">
        <f t="shared" si="213"/>
        <v>-</v>
      </c>
      <c r="F78" s="8" t="str">
        <f t="shared" si="214"/>
        <v>-</v>
      </c>
      <c r="H78" s="8" t="str">
        <f t="shared" si="215"/>
        <v>-</v>
      </c>
      <c r="I78" s="8" t="str">
        <f t="shared" si="216"/>
        <v>-</v>
      </c>
      <c r="K78" s="8" t="str">
        <f t="shared" si="217"/>
        <v>-</v>
      </c>
      <c r="L78" s="8" t="str">
        <f t="shared" si="218"/>
        <v>-</v>
      </c>
      <c r="N78" s="8" t="str">
        <f t="shared" si="219"/>
        <v>-</v>
      </c>
      <c r="O78" s="8" t="str">
        <f t="shared" si="220"/>
        <v>-</v>
      </c>
      <c r="Q78" s="8" t="str">
        <f t="shared" si="221"/>
        <v>-</v>
      </c>
      <c r="R78" s="8" t="str">
        <f t="shared" si="222"/>
        <v>-</v>
      </c>
      <c r="T78" s="8" t="str">
        <f t="shared" si="223"/>
        <v>-</v>
      </c>
      <c r="U78" s="8" t="str">
        <f t="shared" si="224"/>
        <v>-</v>
      </c>
      <c r="V78" s="379"/>
      <c r="W78" s="607"/>
      <c r="X78" s="397">
        <f>Horarios!C78</f>
        <v>46195.541666666657</v>
      </c>
      <c r="Y78" s="398">
        <f>Horarios!C78</f>
        <v>46195.541666666657</v>
      </c>
      <c r="Z78" s="399" t="str">
        <f>$Z$6</f>
        <v>R2</v>
      </c>
      <c r="AA78" s="400" t="str">
        <f>A77</f>
        <v>Argentina</v>
      </c>
      <c r="AB78" s="401" t="str">
        <f t="array" aca="1" ref="AB78" ca="1">Ver_flag_local</f>
        <v/>
      </c>
      <c r="AC78" s="15">
        <v>2</v>
      </c>
      <c r="AD78" s="16">
        <v>1</v>
      </c>
      <c r="AE78" s="402" t="str">
        <f t="array" aca="1" ref="AE78" ca="1">Ver_flag_visit</f>
        <v/>
      </c>
      <c r="AF78" s="403" t="str">
        <f>A79</f>
        <v>Austria</v>
      </c>
      <c r="AG78" s="404">
        <f t="shared" si="225"/>
        <v>1</v>
      </c>
      <c r="AH78" s="405">
        <v>43</v>
      </c>
      <c r="AI78" s="406" t="str">
        <f>AJ78&amp;$B$76</f>
        <v>1J</v>
      </c>
      <c r="AJ78" s="419">
        <v>1</v>
      </c>
      <c r="AK78" s="473" t="str">
        <f t="array" aca="1" ref="AK78" ca="1">Ver_flag_visit</f>
        <v/>
      </c>
      <c r="AL78" s="421" t="str">
        <f>IFERROR(INDEX($BD$6:$BD$53,MATCH(AI78,$BN$6:$BN$53,0)),"")</f>
        <v>Argentina</v>
      </c>
      <c r="AM78" s="422">
        <f t="shared" ref="AM78:AT81" si="227">INDEX($BE$6:$BN$53,MATCH($AL78,$BD$6:$BD$53,0),MATCH(AM$5,$BE$5:$BN$5,0))</f>
        <v>9</v>
      </c>
      <c r="AN78" s="423">
        <f t="shared" si="227"/>
        <v>3</v>
      </c>
      <c r="AO78" s="423">
        <f t="shared" si="227"/>
        <v>3</v>
      </c>
      <c r="AP78" s="423">
        <f t="shared" si="227"/>
        <v>0</v>
      </c>
      <c r="AQ78" s="423">
        <f t="shared" si="227"/>
        <v>0</v>
      </c>
      <c r="AR78" s="423">
        <f t="shared" si="227"/>
        <v>6</v>
      </c>
      <c r="AS78" s="423">
        <f t="shared" si="227"/>
        <v>1</v>
      </c>
      <c r="AT78" s="424">
        <f t="shared" si="227"/>
        <v>5</v>
      </c>
      <c r="AU78" s="425">
        <f>INDEX($DL$6:$DL$53,MATCH(AI78,$DP$6:$DP$53,0))</f>
        <v>1</v>
      </c>
      <c r="AV78" s="426" t="str">
        <f>INDEX($BD$6:$BD$53,MATCH(AI78,$BM$6:$BM$53,0))</f>
        <v>Argentina</v>
      </c>
      <c r="AW78" s="579"/>
      <c r="AX78" s="428"/>
      <c r="AY78" s="429" t="str">
        <f>+A77</f>
        <v>Argentina</v>
      </c>
      <c r="AZ78" s="430"/>
      <c r="BA78" s="378"/>
      <c r="DN78" s="9"/>
    </row>
    <row r="79" spans="1:121" ht="16.149999999999999" customHeight="1">
      <c r="A79" s="8" t="str">
        <f>+Equipos!B40</f>
        <v>Austria</v>
      </c>
      <c r="D79" s="8" t="str">
        <f t="shared" si="212"/>
        <v>Empate</v>
      </c>
      <c r="E79" s="8" t="str">
        <f t="shared" si="213"/>
        <v>P.3 (2)</v>
      </c>
      <c r="F79" s="8" t="str">
        <f t="shared" si="214"/>
        <v>P.3 (2)</v>
      </c>
      <c r="H79" s="8" t="str">
        <f t="shared" si="215"/>
        <v>P.3 (2)</v>
      </c>
      <c r="I79" s="8" t="str">
        <f t="shared" si="216"/>
        <v>P.3 (2)</v>
      </c>
      <c r="K79" s="8" t="str">
        <f t="shared" si="217"/>
        <v>P.3 (2)</v>
      </c>
      <c r="L79" s="8" t="str">
        <f t="shared" si="218"/>
        <v>P.3 (2)</v>
      </c>
      <c r="N79" s="8" t="str">
        <f t="shared" si="219"/>
        <v>P.3 (2)</v>
      </c>
      <c r="O79" s="8" t="str">
        <f t="shared" si="220"/>
        <v>P.3 (2)</v>
      </c>
      <c r="Q79" s="8" t="str">
        <f t="shared" si="221"/>
        <v>P.3 (2)</v>
      </c>
      <c r="R79" s="8" t="str">
        <f t="shared" si="222"/>
        <v>P.3 (2)</v>
      </c>
      <c r="T79" s="8" t="str">
        <f t="shared" si="223"/>
        <v>P.3 (2)</v>
      </c>
      <c r="U79" s="8" t="str">
        <f t="shared" si="224"/>
        <v>P.3 (2)</v>
      </c>
      <c r="V79" s="379"/>
      <c r="W79" s="607"/>
      <c r="X79" s="397">
        <f>Horarios!C79</f>
        <v>46195.958333333343</v>
      </c>
      <c r="Y79" s="398">
        <f>Horarios!C79</f>
        <v>46195.958333333343</v>
      </c>
      <c r="Z79" s="399" t="str">
        <f>$Z$6</f>
        <v>R2</v>
      </c>
      <c r="AA79" s="400" t="str">
        <f>A80</f>
        <v>Jordan</v>
      </c>
      <c r="AB79" s="401" t="str">
        <f t="array" aca="1" ref="AB79" ca="1">Ver_flag_local</f>
        <v/>
      </c>
      <c r="AC79" s="15">
        <v>0</v>
      </c>
      <c r="AD79" s="16">
        <v>0</v>
      </c>
      <c r="AE79" s="402" t="str">
        <f t="array" aca="1" ref="AE79" ca="1">Ver_flag_visit</f>
        <v/>
      </c>
      <c r="AF79" s="403" t="str">
        <f>A78</f>
        <v>Algeria</v>
      </c>
      <c r="AG79" s="404">
        <f t="shared" si="225"/>
        <v>1</v>
      </c>
      <c r="AH79" s="405">
        <v>44</v>
      </c>
      <c r="AI79" s="406" t="str">
        <f>AJ79&amp;$B$76</f>
        <v>2J</v>
      </c>
      <c r="AJ79" s="431">
        <v>2</v>
      </c>
      <c r="AK79" s="476" t="str">
        <f t="array" aca="1" ref="AK79" ca="1">Ver_flag_visit</f>
        <v/>
      </c>
      <c r="AL79" s="433" t="str">
        <f>IFERROR(INDEX($BD$6:$BD$53,MATCH(AI79,$BN$6:$BN$53,0)),"")</f>
        <v>Austria</v>
      </c>
      <c r="AM79" s="434">
        <f t="shared" si="227"/>
        <v>6</v>
      </c>
      <c r="AN79" s="435">
        <f t="shared" si="227"/>
        <v>3</v>
      </c>
      <c r="AO79" s="435">
        <f t="shared" si="227"/>
        <v>2</v>
      </c>
      <c r="AP79" s="435">
        <f t="shared" si="227"/>
        <v>0</v>
      </c>
      <c r="AQ79" s="435">
        <f t="shared" si="227"/>
        <v>1</v>
      </c>
      <c r="AR79" s="435">
        <f t="shared" si="227"/>
        <v>4</v>
      </c>
      <c r="AS79" s="435">
        <f t="shared" si="227"/>
        <v>2</v>
      </c>
      <c r="AT79" s="436">
        <f t="shared" si="227"/>
        <v>2</v>
      </c>
      <c r="AU79" s="425">
        <f>INDEX($DL$6:$DL$53,MATCH(AI79,$DP$6:$DP$53,0))</f>
        <v>1</v>
      </c>
      <c r="AV79" s="426" t="str">
        <f>INDEX($BD$6:$BD$53,MATCH(AI79,$BM$6:$BM$53,0))</f>
        <v>Austria</v>
      </c>
      <c r="AW79" s="579"/>
      <c r="AX79" s="428"/>
      <c r="AY79" s="437" t="str">
        <f>+A78</f>
        <v>Algeria</v>
      </c>
      <c r="AZ79" s="438"/>
      <c r="BA79" s="378"/>
      <c r="DN79" s="9"/>
    </row>
    <row r="80" spans="1:121" ht="16.149999999999999" customHeight="1">
      <c r="A80" s="8" t="str">
        <f>+Equipos!B41</f>
        <v>Jordan</v>
      </c>
      <c r="D80" s="8" t="str">
        <f t="shared" si="212"/>
        <v>Visitante</v>
      </c>
      <c r="E80" s="8" t="str">
        <f t="shared" si="213"/>
        <v>P.3 (2)</v>
      </c>
      <c r="F80" s="8" t="str">
        <f t="shared" si="214"/>
        <v>-</v>
      </c>
      <c r="H80" s="8" t="str">
        <f t="shared" si="215"/>
        <v>P.3 (2)</v>
      </c>
      <c r="I80" s="8" t="str">
        <f t="shared" si="216"/>
        <v>-</v>
      </c>
      <c r="K80" s="8" t="str">
        <f t="shared" si="217"/>
        <v>P.3 (2)</v>
      </c>
      <c r="L80" s="8" t="str">
        <f t="shared" si="218"/>
        <v>-</v>
      </c>
      <c r="N80" s="8" t="str">
        <f t="shared" si="219"/>
        <v>P.3 (2)</v>
      </c>
      <c r="O80" s="8" t="str">
        <f t="shared" si="220"/>
        <v>-</v>
      </c>
      <c r="Q80" s="8" t="str">
        <f t="shared" si="221"/>
        <v>P.3 (2)</v>
      </c>
      <c r="R80" s="8" t="str">
        <f t="shared" si="222"/>
        <v>-</v>
      </c>
      <c r="T80" s="8" t="str">
        <f t="shared" si="223"/>
        <v>P.3 (2)</v>
      </c>
      <c r="U80" s="8" t="str">
        <f t="shared" si="224"/>
        <v>-</v>
      </c>
      <c r="V80" s="379"/>
      <c r="W80" s="607"/>
      <c r="X80" s="397">
        <f>Horarios!C80</f>
        <v>46200.916666666657</v>
      </c>
      <c r="Y80" s="398">
        <f>Horarios!C80</f>
        <v>46200.916666666657</v>
      </c>
      <c r="Z80" s="399" t="str">
        <f>$Z$8</f>
        <v>R3</v>
      </c>
      <c r="AA80" s="400" t="str">
        <f>A78</f>
        <v>Algeria</v>
      </c>
      <c r="AB80" s="401" t="str">
        <f t="array" aca="1" ref="AB80" ca="1">Ver_flag_local</f>
        <v/>
      </c>
      <c r="AC80" s="15">
        <v>0</v>
      </c>
      <c r="AD80" s="16">
        <v>2</v>
      </c>
      <c r="AE80" s="402" t="str">
        <f t="array" aca="1" ref="AE80" ca="1">Ver_flag_visit</f>
        <v/>
      </c>
      <c r="AF80" s="403" t="str">
        <f>A79</f>
        <v>Austria</v>
      </c>
      <c r="AG80" s="404">
        <f t="shared" si="225"/>
        <v>1</v>
      </c>
      <c r="AH80" s="405">
        <v>69</v>
      </c>
      <c r="AI80" s="406" t="str">
        <f>AJ80&amp;$B$76</f>
        <v>3J</v>
      </c>
      <c r="AJ80" s="431">
        <v>3</v>
      </c>
      <c r="AK80" s="476" t="str">
        <f t="array" aca="1" ref="AK80" ca="1">Ver_flag_visit</f>
        <v/>
      </c>
      <c r="AL80" s="433" t="str">
        <f>IFERROR(INDEX($BD$6:$BD$53,MATCH(AI80,$BN$6:$BN$53,0)),"")</f>
        <v>Jordan</v>
      </c>
      <c r="AM80" s="434">
        <f t="shared" si="227"/>
        <v>1</v>
      </c>
      <c r="AN80" s="435">
        <f t="shared" si="227"/>
        <v>3</v>
      </c>
      <c r="AO80" s="435">
        <f t="shared" si="227"/>
        <v>0</v>
      </c>
      <c r="AP80" s="435">
        <f t="shared" si="227"/>
        <v>1</v>
      </c>
      <c r="AQ80" s="435">
        <f t="shared" si="227"/>
        <v>2</v>
      </c>
      <c r="AR80" s="435">
        <f t="shared" si="227"/>
        <v>0</v>
      </c>
      <c r="AS80" s="435">
        <f t="shared" si="227"/>
        <v>3</v>
      </c>
      <c r="AT80" s="436">
        <f t="shared" si="227"/>
        <v>-3</v>
      </c>
      <c r="AU80" s="425">
        <f>INDEX($DL$6:$DL$53,MATCH(AI80,$DP$6:$DP$53,0))</f>
        <v>1</v>
      </c>
      <c r="AV80" s="426" t="str">
        <f>INDEX($BD$6:$BD$53,MATCH(AI80,$BM$6:$BM$53,0))</f>
        <v>Jordan</v>
      </c>
      <c r="AW80" s="579"/>
      <c r="AX80" s="428"/>
      <c r="AY80" s="429" t="str">
        <f>+A79</f>
        <v>Austria</v>
      </c>
      <c r="AZ80" s="430"/>
      <c r="BA80" s="378"/>
      <c r="DN80" s="9"/>
    </row>
    <row r="81" spans="1:118" ht="16.149999999999999" customHeight="1" thickBot="1">
      <c r="D81" s="8" t="str">
        <f t="shared" si="212"/>
        <v>Visitante</v>
      </c>
      <c r="E81" s="8" t="str">
        <f t="shared" si="213"/>
        <v>P.3 (2)</v>
      </c>
      <c r="F81" s="8" t="str">
        <f t="shared" si="214"/>
        <v>-</v>
      </c>
      <c r="H81" s="8" t="str">
        <f t="shared" si="215"/>
        <v>P.3 (2)</v>
      </c>
      <c r="I81" s="8" t="str">
        <f t="shared" si="216"/>
        <v>-</v>
      </c>
      <c r="K81" s="8" t="str">
        <f t="shared" si="217"/>
        <v>P.3 (2)</v>
      </c>
      <c r="L81" s="8" t="str">
        <f t="shared" si="218"/>
        <v>-</v>
      </c>
      <c r="N81" s="8" t="str">
        <f t="shared" si="219"/>
        <v>P.3 (2)</v>
      </c>
      <c r="O81" s="8" t="str">
        <f t="shared" si="220"/>
        <v>-</v>
      </c>
      <c r="Q81" s="8" t="str">
        <f t="shared" si="221"/>
        <v>P.3 (2)</v>
      </c>
      <c r="R81" s="8" t="str">
        <f t="shared" si="222"/>
        <v>-</v>
      </c>
      <c r="T81" s="8" t="str">
        <f t="shared" si="223"/>
        <v>P.3 (2)</v>
      </c>
      <c r="U81" s="8" t="str">
        <f t="shared" si="224"/>
        <v>-</v>
      </c>
      <c r="V81" s="379"/>
      <c r="W81" s="608"/>
      <c r="X81" s="439">
        <f>Horarios!C81</f>
        <v>46200.916666666657</v>
      </c>
      <c r="Y81" s="440">
        <f>Horarios!C81</f>
        <v>46200.916666666657</v>
      </c>
      <c r="Z81" s="441" t="str">
        <f>$Z$8</f>
        <v>R3</v>
      </c>
      <c r="AA81" s="442" t="str">
        <f>A80</f>
        <v>Jordan</v>
      </c>
      <c r="AB81" s="443" t="str">
        <f t="array" aca="1" ref="AB81" ca="1">Ver_flag_local</f>
        <v/>
      </c>
      <c r="AC81" s="17">
        <v>0</v>
      </c>
      <c r="AD81" s="18">
        <v>2</v>
      </c>
      <c r="AE81" s="444" t="str">
        <f t="array" aca="1" ref="AE81" ca="1">Ver_flag_visit</f>
        <v/>
      </c>
      <c r="AF81" s="445" t="str">
        <f>A77</f>
        <v>Argentina</v>
      </c>
      <c r="AG81" s="404">
        <f t="shared" si="225"/>
        <v>1</v>
      </c>
      <c r="AH81" s="405">
        <v>70</v>
      </c>
      <c r="AI81" s="406" t="str">
        <f>AJ81&amp;$B$76</f>
        <v>4J</v>
      </c>
      <c r="AJ81" s="446">
        <v>4</v>
      </c>
      <c r="AK81" s="485" t="str">
        <f t="array" aca="1" ref="AK81" ca="1">Ver_flag_visit</f>
        <v/>
      </c>
      <c r="AL81" s="448" t="str">
        <f>IFERROR(INDEX($BD$6:$BD$53,MATCH(AI81,$BN$6:$BN$53,0)),"")</f>
        <v>Algeria</v>
      </c>
      <c r="AM81" s="449">
        <f t="shared" si="227"/>
        <v>1</v>
      </c>
      <c r="AN81" s="450">
        <f t="shared" si="227"/>
        <v>3</v>
      </c>
      <c r="AO81" s="450">
        <f t="shared" si="227"/>
        <v>0</v>
      </c>
      <c r="AP81" s="450">
        <f t="shared" si="227"/>
        <v>1</v>
      </c>
      <c r="AQ81" s="450">
        <f t="shared" si="227"/>
        <v>2</v>
      </c>
      <c r="AR81" s="450">
        <f t="shared" si="227"/>
        <v>0</v>
      </c>
      <c r="AS81" s="450">
        <f t="shared" si="227"/>
        <v>4</v>
      </c>
      <c r="AT81" s="451">
        <f t="shared" si="227"/>
        <v>-4</v>
      </c>
      <c r="AU81" s="425">
        <f>INDEX($DL$6:$DL$53,MATCH(AI81,$DP$6:$DP$53,0))</f>
        <v>1</v>
      </c>
      <c r="AV81" s="426" t="str">
        <f>INDEX($BD$6:$BD$53,MATCH(AI81,$BM$6:$BM$53,0))</f>
        <v>Algeria</v>
      </c>
      <c r="AW81" s="579"/>
      <c r="AX81" s="428"/>
      <c r="AY81" s="452" t="str">
        <f>+A80</f>
        <v>Jordan</v>
      </c>
      <c r="AZ81" s="453"/>
      <c r="BA81" s="378"/>
      <c r="DN81" s="9"/>
    </row>
    <row r="82" spans="1:118" ht="16.149999999999999" customHeight="1" thickBot="1">
      <c r="V82" s="379"/>
      <c r="W82" s="454"/>
      <c r="X82" s="455"/>
      <c r="Y82" s="454"/>
      <c r="Z82" s="456"/>
      <c r="AA82" s="457"/>
      <c r="AB82" s="458"/>
      <c r="AC82" s="459"/>
      <c r="AD82" s="459"/>
      <c r="AE82" s="458"/>
      <c r="AF82" s="460"/>
      <c r="AG82" s="484"/>
      <c r="AH82" s="405"/>
      <c r="AI82" s="374"/>
      <c r="AJ82" s="461"/>
      <c r="AK82" s="462"/>
      <c r="AL82" s="395"/>
      <c r="AM82" s="463"/>
      <c r="AN82" s="461"/>
      <c r="AO82" s="461"/>
      <c r="AP82" s="461"/>
      <c r="AQ82" s="461"/>
      <c r="AR82" s="461"/>
      <c r="AS82" s="461"/>
      <c r="AT82" s="461"/>
      <c r="AU82" s="425"/>
      <c r="AV82" s="464"/>
      <c r="AW82" s="427"/>
      <c r="AX82" s="428"/>
      <c r="AY82" s="454"/>
      <c r="AZ82" s="455"/>
      <c r="BA82" s="378"/>
      <c r="DN82" s="9"/>
    </row>
    <row r="83" spans="1:118" ht="16.149999999999999" customHeight="1" thickBot="1">
      <c r="V83" s="379"/>
      <c r="W83" s="388"/>
      <c r="X83" s="389" t="str">
        <f>X3</f>
        <v>Date</v>
      </c>
      <c r="Y83" s="389" t="str">
        <f>Y3</f>
        <v>Hour</v>
      </c>
      <c r="Z83" s="390" t="str">
        <f>Z3</f>
        <v>R</v>
      </c>
      <c r="AA83" s="391" t="str">
        <f>AA3</f>
        <v>Home</v>
      </c>
      <c r="AB83" s="392"/>
      <c r="AC83" s="390" t="str">
        <f>AC3</f>
        <v>Goals</v>
      </c>
      <c r="AD83" s="390" t="str">
        <f>AD3</f>
        <v>Goals</v>
      </c>
      <c r="AE83" s="392"/>
      <c r="AF83" s="393" t="str">
        <f>AF3</f>
        <v>Away</v>
      </c>
      <c r="AG83" s="465"/>
      <c r="AH83" s="405"/>
      <c r="AI83" s="382"/>
      <c r="AJ83" s="395"/>
      <c r="AK83" s="466"/>
      <c r="AL83" s="395"/>
      <c r="AM83" s="395"/>
      <c r="AN83" s="395"/>
      <c r="AO83" s="395"/>
      <c r="AP83" s="395"/>
      <c r="AQ83" s="395"/>
      <c r="AR83" s="395"/>
      <c r="AS83" s="395"/>
      <c r="AT83" s="395"/>
      <c r="AU83" s="467"/>
      <c r="AV83" s="384"/>
      <c r="AW83" s="468"/>
      <c r="AX83" s="469"/>
      <c r="AY83" s="454"/>
      <c r="AZ83" s="455"/>
      <c r="BA83" s="378"/>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v>
      </c>
      <c r="F84" s="8" t="str">
        <f t="shared" ref="F84:F89" si="230">IF(D84="Pendiente","-",INDEX($BT$6:$BT$53,MATCH($AF84,$BD$6:$BD$53,0)))</f>
        <v>P.3 (2)</v>
      </c>
      <c r="H84" s="8" t="str">
        <f t="shared" ref="H84:H89" si="231">IF(D84="Pendiente","-",INDEX($BZ$6:$BZ$53,MATCH($AA84,$BD$6:$BD$53,0)))</f>
        <v>-</v>
      </c>
      <c r="I84" s="8" t="str">
        <f t="shared" ref="I84:I89" si="232">IF(D84="Pendiente","-",INDEX($BZ$6:$BZ$53,MATCH($AF84,$BD$6:$BD$53,0)))</f>
        <v>P.3 (2)</v>
      </c>
      <c r="K84" s="8" t="str">
        <f t="shared" ref="K84:K89" si="233">IF(D84="Pendiente","-",INDEX($CE$6:$CE$53,MATCH($AA84,$BD$6:$BD$53,0)))</f>
        <v>-</v>
      </c>
      <c r="L84" s="8" t="str">
        <f t="shared" ref="L84:L89" si="234">IF(D84="Pendiente","-",INDEX($CE$6:$CE$53,MATCH($AF84,$BD$6:$BD$53,0)))</f>
        <v>P.3 (2)</v>
      </c>
      <c r="N84" s="8" t="str">
        <f t="shared" ref="N84:N89" si="235">IF(D84="Pendiente","-",INDEX($CH$6:$CH$53,MATCH($AA84,$BD$6:$BD$53,0)))</f>
        <v>-</v>
      </c>
      <c r="O84" s="8" t="str">
        <f t="shared" ref="O84:O89" si="236">IF(D84="Pendiente","-",INDEX($CH$6:$CH$53,MATCH($AF84,$BD$6:$BD$53,0)))</f>
        <v>P.3 (2)</v>
      </c>
      <c r="Q84" s="8" t="str">
        <f t="shared" ref="Q84:Q89" si="237">IF(D84="Pendiente","-",INDEX($CN$6:$CN$53,MATCH($AA84,$BD$6:$BD$53,0)))</f>
        <v>-</v>
      </c>
      <c r="R84" s="8" t="str">
        <f t="shared" ref="R84:R89" si="238">IF(D84="Pendiente","-",INDEX($CN$6:$CN$53,MATCH($AF84,$BD$6:$BD$53,0)))</f>
        <v>P.3 (2)</v>
      </c>
      <c r="T84" s="8" t="str">
        <f t="shared" ref="T84:T89" si="239">IF(D84="Pendiente","-",INDEX($CS$6:$CS$53,MATCH($AA84,$BD$6:$BD$53,0)))</f>
        <v>-</v>
      </c>
      <c r="U84" s="8" t="str">
        <f t="shared" ref="U84:U89" si="240">IF(D84="Pendiente","-",INDEX($CS$6:$CS$53,MATCH($AF84,$BD$6:$BD$53,0)))</f>
        <v>P.3 (2)</v>
      </c>
      <c r="V84" s="379"/>
      <c r="W84" s="637" t="s">
        <v>133</v>
      </c>
      <c r="X84" s="397">
        <f>Horarios!C84</f>
        <v>46190.541666666657</v>
      </c>
      <c r="Y84" s="398">
        <f>Horarios!C84</f>
        <v>46190.541666666657</v>
      </c>
      <c r="Z84" s="399" t="str">
        <f>$Z$4</f>
        <v>R1</v>
      </c>
      <c r="AA84" s="400" t="str">
        <f>A85</f>
        <v>Portugal</v>
      </c>
      <c r="AB84" s="401" t="str">
        <f t="array" aca="1" ref="AB84" ca="1">Ver_flag_local</f>
        <v/>
      </c>
      <c r="AC84" s="15">
        <v>3</v>
      </c>
      <c r="AD84" s="16">
        <v>0</v>
      </c>
      <c r="AE84" s="402" t="str">
        <f t="array" aca="1" ref="AE84" ca="1">Ver_flag_visit</f>
        <v/>
      </c>
      <c r="AF84" s="403" t="str">
        <f>A86</f>
        <v>DR Congo</v>
      </c>
      <c r="AG84" s="404">
        <f t="shared" ref="AG84:AG89" si="241">IF(NOT(OR(ISBLANK(AC84),ISBLANK(AD84))),1,0)</f>
        <v>1</v>
      </c>
      <c r="AH84" s="405">
        <v>23</v>
      </c>
      <c r="AI84" s="406"/>
      <c r="AJ84" s="407" t="str">
        <f>CONCATENATE(AJ3," ",B84)</f>
        <v>Group K</v>
      </c>
      <c r="AK84" s="408"/>
      <c r="AL84" s="408"/>
      <c r="AM84" s="408"/>
      <c r="AN84" s="408"/>
      <c r="AO84" s="408"/>
      <c r="AP84" s="408"/>
      <c r="AQ84" s="408"/>
      <c r="AR84" s="408"/>
      <c r="AS84" s="408"/>
      <c r="AT84" s="409"/>
      <c r="AU84" s="467"/>
      <c r="AV84" s="410" t="str">
        <f>IF(AU85&gt;0,$AV$3,"")</f>
        <v/>
      </c>
      <c r="AW84" s="471"/>
      <c r="AX84" s="471"/>
      <c r="AY84" s="454"/>
      <c r="AZ84" s="455"/>
      <c r="BA84" s="378"/>
      <c r="DN84" s="9"/>
    </row>
    <row r="85" spans="1:118" ht="16.149999999999999" customHeight="1">
      <c r="A85" s="8" t="str">
        <f>+Equipos!B42</f>
        <v>Portugal</v>
      </c>
      <c r="D85" s="8" t="str">
        <f t="shared" si="228"/>
        <v>Visitante</v>
      </c>
      <c r="E85" s="8" t="str">
        <f t="shared" si="229"/>
        <v>P.3 (2)</v>
      </c>
      <c r="F85" s="8" t="str">
        <f t="shared" si="230"/>
        <v>-</v>
      </c>
      <c r="H85" s="8" t="str">
        <f t="shared" si="231"/>
        <v>P.3 (2)</v>
      </c>
      <c r="I85" s="8" t="str">
        <f t="shared" si="232"/>
        <v>-</v>
      </c>
      <c r="K85" s="8" t="str">
        <f t="shared" si="233"/>
        <v>P.3 (2)</v>
      </c>
      <c r="L85" s="8" t="str">
        <f t="shared" si="234"/>
        <v>-</v>
      </c>
      <c r="N85" s="8" t="str">
        <f t="shared" si="235"/>
        <v>P.3 (2)</v>
      </c>
      <c r="O85" s="8" t="str">
        <f t="shared" si="236"/>
        <v>-</v>
      </c>
      <c r="Q85" s="8" t="str">
        <f t="shared" si="237"/>
        <v>P.3 (2)</v>
      </c>
      <c r="R85" s="8" t="str">
        <f t="shared" si="238"/>
        <v>-</v>
      </c>
      <c r="T85" s="8" t="str">
        <f t="shared" si="239"/>
        <v>P.3 (2)</v>
      </c>
      <c r="U85" s="8" t="str">
        <f t="shared" si="240"/>
        <v>-</v>
      </c>
      <c r="V85" s="379"/>
      <c r="W85" s="607"/>
      <c r="X85" s="397">
        <f>Horarios!C85</f>
        <v>46190.916666666657</v>
      </c>
      <c r="Y85" s="398">
        <f>Horarios!C85</f>
        <v>46190.916666666657</v>
      </c>
      <c r="Z85" s="399" t="str">
        <f>$Z$4</f>
        <v>R1</v>
      </c>
      <c r="AA85" s="400" t="str">
        <f>A87</f>
        <v>Uzbekistan</v>
      </c>
      <c r="AB85" s="401" t="str">
        <f t="array" aca="1" ref="AB85" ca="1">Ver_flag_local</f>
        <v/>
      </c>
      <c r="AC85" s="15">
        <v>1</v>
      </c>
      <c r="AD85" s="16">
        <v>3</v>
      </c>
      <c r="AE85" s="402" t="str">
        <f t="array" aca="1" ref="AE85" ca="1">Ver_flag_visit</f>
        <v/>
      </c>
      <c r="AF85" s="403" t="str">
        <f>A88</f>
        <v>Colombia</v>
      </c>
      <c r="AG85" s="404">
        <f t="shared" si="241"/>
        <v>1</v>
      </c>
      <c r="AH85" s="405">
        <v>24</v>
      </c>
      <c r="AI85" s="406"/>
      <c r="AJ85" s="412" t="str">
        <f>AJ5</f>
        <v>Pos</v>
      </c>
      <c r="AK85" s="413"/>
      <c r="AL85" s="414" t="str">
        <f t="shared" ref="AL85:AT85" si="242">AL5</f>
        <v>Nation</v>
      </c>
      <c r="AM85" s="413" t="str">
        <f t="shared" si="242"/>
        <v>Pts</v>
      </c>
      <c r="AN85" s="413" t="str">
        <f t="shared" si="242"/>
        <v>P</v>
      </c>
      <c r="AO85" s="413" t="str">
        <f t="shared" si="242"/>
        <v>W</v>
      </c>
      <c r="AP85" s="413" t="str">
        <f t="shared" si="242"/>
        <v>D</v>
      </c>
      <c r="AQ85" s="413" t="str">
        <f t="shared" si="242"/>
        <v>L</v>
      </c>
      <c r="AR85" s="413" t="str">
        <f t="shared" si="242"/>
        <v>F</v>
      </c>
      <c r="AS85" s="413" t="str">
        <f t="shared" si="242"/>
        <v>A</v>
      </c>
      <c r="AT85" s="415" t="str">
        <f t="shared" si="242"/>
        <v>GD</v>
      </c>
      <c r="AU85" s="467">
        <f>COUNTIF(AU86:AU89,"&gt;1")</f>
        <v>0</v>
      </c>
      <c r="AV85" s="416"/>
      <c r="AW85" s="471"/>
      <c r="AX85" s="471"/>
      <c r="AY85" s="417" t="str">
        <f>AL85</f>
        <v>Nation</v>
      </c>
      <c r="AZ85" s="418" t="str">
        <f>+Idiomas!$D$67</f>
        <v>Deducted Points</v>
      </c>
      <c r="BA85" s="378"/>
      <c r="DN85" s="9"/>
    </row>
    <row r="86" spans="1:118" ht="16.149999999999999" customHeight="1">
      <c r="A86" s="8" t="str">
        <f>+Equipos!B43</f>
        <v>DR Congo</v>
      </c>
      <c r="D86" s="8" t="str">
        <f t="shared" si="228"/>
        <v>Local</v>
      </c>
      <c r="E86" s="8" t="str">
        <f t="shared" si="229"/>
        <v>-</v>
      </c>
      <c r="F86" s="8" t="str">
        <f t="shared" si="230"/>
        <v>P.3 (2)</v>
      </c>
      <c r="H86" s="8" t="str">
        <f t="shared" si="231"/>
        <v>-</v>
      </c>
      <c r="I86" s="8" t="str">
        <f t="shared" si="232"/>
        <v>P.3 (2)</v>
      </c>
      <c r="K86" s="8" t="str">
        <f t="shared" si="233"/>
        <v>-</v>
      </c>
      <c r="L86" s="8" t="str">
        <f t="shared" si="234"/>
        <v>P.3 (2)</v>
      </c>
      <c r="N86" s="8" t="str">
        <f t="shared" si="235"/>
        <v>-</v>
      </c>
      <c r="O86" s="8" t="str">
        <f t="shared" si="236"/>
        <v>P.3 (2)</v>
      </c>
      <c r="Q86" s="8" t="str">
        <f t="shared" si="237"/>
        <v>-</v>
      </c>
      <c r="R86" s="8" t="str">
        <f t="shared" si="238"/>
        <v>P.3 (2)</v>
      </c>
      <c r="T86" s="8" t="str">
        <f t="shared" si="239"/>
        <v>-</v>
      </c>
      <c r="U86" s="8" t="str">
        <f t="shared" si="240"/>
        <v>P.3 (2)</v>
      </c>
      <c r="V86" s="379"/>
      <c r="W86" s="607"/>
      <c r="X86" s="397">
        <f>Horarios!C86</f>
        <v>46196.541666666657</v>
      </c>
      <c r="Y86" s="398">
        <f>Horarios!C86</f>
        <v>46196.541666666657</v>
      </c>
      <c r="Z86" s="399" t="str">
        <f>$Z$6</f>
        <v>R2</v>
      </c>
      <c r="AA86" s="400" t="str">
        <f>A85</f>
        <v>Portugal</v>
      </c>
      <c r="AB86" s="401" t="str">
        <f t="array" aca="1" ref="AB86" ca="1">Ver_flag_local</f>
        <v/>
      </c>
      <c r="AC86" s="15">
        <v>4</v>
      </c>
      <c r="AD86" s="16">
        <v>0</v>
      </c>
      <c r="AE86" s="402" t="str">
        <f t="array" aca="1" ref="AE86" ca="1">Ver_flag_visit</f>
        <v/>
      </c>
      <c r="AF86" s="403" t="str">
        <f>A87</f>
        <v>Uzbekistan</v>
      </c>
      <c r="AG86" s="404">
        <f t="shared" si="241"/>
        <v>1</v>
      </c>
      <c r="AH86" s="405">
        <v>47</v>
      </c>
      <c r="AI86" s="406" t="str">
        <f>AJ86&amp;$B$84</f>
        <v>1K</v>
      </c>
      <c r="AJ86" s="419">
        <v>1</v>
      </c>
      <c r="AK86" s="473" t="str">
        <f t="array" aca="1" ref="AK86" ca="1">Ver_flag_visit</f>
        <v/>
      </c>
      <c r="AL86" s="421" t="str">
        <f>IFERROR(INDEX($BD$6:$BD$53,MATCH(AI86,$BN$6:$BN$53,0)),"")</f>
        <v>Portugal</v>
      </c>
      <c r="AM86" s="422">
        <f t="shared" ref="AM86:AT89" si="243">INDEX($BE$6:$BN$53,MATCH($AL86,$BD$6:$BD$53,0),MATCH(AM$5,$BE$5:$BN$5,0))</f>
        <v>9</v>
      </c>
      <c r="AN86" s="423">
        <f t="shared" si="243"/>
        <v>3</v>
      </c>
      <c r="AO86" s="423">
        <f t="shared" si="243"/>
        <v>3</v>
      </c>
      <c r="AP86" s="423">
        <f t="shared" si="243"/>
        <v>0</v>
      </c>
      <c r="AQ86" s="423">
        <f t="shared" si="243"/>
        <v>0</v>
      </c>
      <c r="AR86" s="423">
        <f t="shared" si="243"/>
        <v>9</v>
      </c>
      <c r="AS86" s="423">
        <f t="shared" si="243"/>
        <v>0</v>
      </c>
      <c r="AT86" s="424">
        <f t="shared" si="243"/>
        <v>9</v>
      </c>
      <c r="AU86" s="425">
        <f>INDEX($DL$6:$DL$53,MATCH(AI86,$DP$6:$DP$53,0))</f>
        <v>1</v>
      </c>
      <c r="AV86" s="426" t="str">
        <f>INDEX($BD$6:$BD$53,MATCH(AI86,$BM$6:$BM$53,0))</f>
        <v>Portugal</v>
      </c>
      <c r="AW86" s="579"/>
      <c r="AX86" s="428"/>
      <c r="AY86" s="429" t="str">
        <f>+A85</f>
        <v>Portugal</v>
      </c>
      <c r="AZ86" s="430"/>
      <c r="BA86" s="378"/>
      <c r="DN86" s="9"/>
    </row>
    <row r="87" spans="1:118" ht="16.149999999999999" customHeight="1">
      <c r="A87" s="8" t="str">
        <f>+Equipos!B44</f>
        <v>Uzbekistan</v>
      </c>
      <c r="D87" s="8" t="str">
        <f t="shared" si="228"/>
        <v>Local</v>
      </c>
      <c r="E87" s="8" t="str">
        <f t="shared" si="229"/>
        <v>-</v>
      </c>
      <c r="F87" s="8" t="str">
        <f t="shared" si="230"/>
        <v>P.3 (2)</v>
      </c>
      <c r="H87" s="8" t="str">
        <f t="shared" si="231"/>
        <v>-</v>
      </c>
      <c r="I87" s="8" t="str">
        <f t="shared" si="232"/>
        <v>P.3 (2)</v>
      </c>
      <c r="K87" s="8" t="str">
        <f t="shared" si="233"/>
        <v>-</v>
      </c>
      <c r="L87" s="8" t="str">
        <f t="shared" si="234"/>
        <v>P.3 (2)</v>
      </c>
      <c r="N87" s="8" t="str">
        <f t="shared" si="235"/>
        <v>-</v>
      </c>
      <c r="O87" s="8" t="str">
        <f t="shared" si="236"/>
        <v>P.3 (2)</v>
      </c>
      <c r="Q87" s="8" t="str">
        <f t="shared" si="237"/>
        <v>-</v>
      </c>
      <c r="R87" s="8" t="str">
        <f t="shared" si="238"/>
        <v>P.3 (2)</v>
      </c>
      <c r="T87" s="8" t="str">
        <f t="shared" si="239"/>
        <v>-</v>
      </c>
      <c r="U87" s="8" t="str">
        <f t="shared" si="240"/>
        <v>P.3 (2)</v>
      </c>
      <c r="V87" s="379"/>
      <c r="W87" s="607"/>
      <c r="X87" s="397">
        <f>Horarios!C87</f>
        <v>46196.916666666657</v>
      </c>
      <c r="Y87" s="398">
        <f>Horarios!C87</f>
        <v>46196.916666666657</v>
      </c>
      <c r="Z87" s="399" t="str">
        <f>$Z$6</f>
        <v>R2</v>
      </c>
      <c r="AA87" s="400" t="str">
        <f>A88</f>
        <v>Colombia</v>
      </c>
      <c r="AB87" s="401" t="str">
        <f t="array" aca="1" ref="AB87" ca="1">Ver_flag_local</f>
        <v/>
      </c>
      <c r="AC87" s="15">
        <v>2</v>
      </c>
      <c r="AD87" s="16">
        <v>1</v>
      </c>
      <c r="AE87" s="402" t="str">
        <f t="array" aca="1" ref="AE87" ca="1">Ver_flag_visit</f>
        <v/>
      </c>
      <c r="AF87" s="403" t="str">
        <f>A86</f>
        <v>DR Congo</v>
      </c>
      <c r="AG87" s="404">
        <f t="shared" si="241"/>
        <v>1</v>
      </c>
      <c r="AH87" s="405">
        <v>48</v>
      </c>
      <c r="AI87" s="406" t="str">
        <f>AJ87&amp;$B$84</f>
        <v>2K</v>
      </c>
      <c r="AJ87" s="431">
        <v>2</v>
      </c>
      <c r="AK87" s="476" t="str">
        <f t="array" aca="1" ref="AK87" ca="1">Ver_flag_visit</f>
        <v/>
      </c>
      <c r="AL87" s="433" t="str">
        <f>IFERROR(INDEX($BD$6:$BD$53,MATCH(AI87,$BN$6:$BN$53,0)),"")</f>
        <v>Colombia</v>
      </c>
      <c r="AM87" s="434">
        <f t="shared" si="243"/>
        <v>6</v>
      </c>
      <c r="AN87" s="435">
        <f t="shared" si="243"/>
        <v>3</v>
      </c>
      <c r="AO87" s="435">
        <f t="shared" si="243"/>
        <v>2</v>
      </c>
      <c r="AP87" s="435">
        <f t="shared" si="243"/>
        <v>0</v>
      </c>
      <c r="AQ87" s="435">
        <f t="shared" si="243"/>
        <v>1</v>
      </c>
      <c r="AR87" s="435">
        <f t="shared" si="243"/>
        <v>5</v>
      </c>
      <c r="AS87" s="435">
        <f t="shared" si="243"/>
        <v>4</v>
      </c>
      <c r="AT87" s="436">
        <f t="shared" si="243"/>
        <v>1</v>
      </c>
      <c r="AU87" s="425">
        <f>INDEX($DL$6:$DL$53,MATCH(AI87,$DP$6:$DP$53,0))</f>
        <v>1</v>
      </c>
      <c r="AV87" s="426" t="str">
        <f>INDEX($BD$6:$BD$53,MATCH(AI87,$BM$6:$BM$53,0))</f>
        <v>Colombia</v>
      </c>
      <c r="AW87" s="579"/>
      <c r="AX87" s="428"/>
      <c r="AY87" s="437" t="str">
        <f>+A86</f>
        <v>DR Congo</v>
      </c>
      <c r="AZ87" s="438"/>
      <c r="BA87" s="378"/>
      <c r="DN87" s="9"/>
    </row>
    <row r="88" spans="1:118" ht="16.149999999999999" customHeight="1">
      <c r="A88" s="8" t="str">
        <f>+Equipos!B45</f>
        <v>Colombia</v>
      </c>
      <c r="D88" s="8" t="str">
        <f t="shared" si="228"/>
        <v>Visitante</v>
      </c>
      <c r="E88" s="8" t="str">
        <f t="shared" si="229"/>
        <v>-</v>
      </c>
      <c r="F88" s="8" t="str">
        <f t="shared" si="230"/>
        <v>-</v>
      </c>
      <c r="H88" s="8" t="str">
        <f t="shared" si="231"/>
        <v>-</v>
      </c>
      <c r="I88" s="8" t="str">
        <f t="shared" si="232"/>
        <v>-</v>
      </c>
      <c r="K88" s="8" t="str">
        <f t="shared" si="233"/>
        <v>-</v>
      </c>
      <c r="L88" s="8" t="str">
        <f t="shared" si="234"/>
        <v>-</v>
      </c>
      <c r="N88" s="8" t="str">
        <f t="shared" si="235"/>
        <v>-</v>
      </c>
      <c r="O88" s="8" t="str">
        <f t="shared" si="236"/>
        <v>-</v>
      </c>
      <c r="Q88" s="8" t="str">
        <f t="shared" si="237"/>
        <v>-</v>
      </c>
      <c r="R88" s="8" t="str">
        <f t="shared" si="238"/>
        <v>-</v>
      </c>
      <c r="T88" s="8" t="str">
        <f t="shared" si="239"/>
        <v>-</v>
      </c>
      <c r="U88" s="8" t="str">
        <f t="shared" si="240"/>
        <v>-</v>
      </c>
      <c r="V88" s="379"/>
      <c r="W88" s="607"/>
      <c r="X88" s="397">
        <f>Horarios!C88</f>
        <v>46200.8125</v>
      </c>
      <c r="Y88" s="398">
        <f>Horarios!C88</f>
        <v>46200.8125</v>
      </c>
      <c r="Z88" s="399" t="str">
        <f>$Z$8</f>
        <v>R3</v>
      </c>
      <c r="AA88" s="400" t="str">
        <f>A88</f>
        <v>Colombia</v>
      </c>
      <c r="AB88" s="401" t="str">
        <f t="array" aca="1" ref="AB88" ca="1">Ver_flag_local</f>
        <v/>
      </c>
      <c r="AC88" s="15">
        <v>0</v>
      </c>
      <c r="AD88" s="16">
        <v>2</v>
      </c>
      <c r="AE88" s="402" t="str">
        <f t="array" aca="1" ref="AE88" ca="1">Ver_flag_visit</f>
        <v/>
      </c>
      <c r="AF88" s="403" t="str">
        <f>A85</f>
        <v>Portugal</v>
      </c>
      <c r="AG88" s="404">
        <f t="shared" si="241"/>
        <v>1</v>
      </c>
      <c r="AH88" s="405">
        <v>71</v>
      </c>
      <c r="AI88" s="406" t="str">
        <f>AJ88&amp;$B$84</f>
        <v>3K</v>
      </c>
      <c r="AJ88" s="431">
        <v>3</v>
      </c>
      <c r="AK88" s="476" t="str">
        <f t="array" aca="1" ref="AK88" ca="1">Ver_flag_visit</f>
        <v/>
      </c>
      <c r="AL88" s="433" t="str">
        <f>IFERROR(INDEX($BD$6:$BD$53,MATCH(AI88,$BN$6:$BN$53,0)),"")</f>
        <v>DR Congo</v>
      </c>
      <c r="AM88" s="434">
        <f t="shared" si="243"/>
        <v>1</v>
      </c>
      <c r="AN88" s="435">
        <f t="shared" si="243"/>
        <v>3</v>
      </c>
      <c r="AO88" s="435">
        <f t="shared" si="243"/>
        <v>0</v>
      </c>
      <c r="AP88" s="435">
        <f t="shared" si="243"/>
        <v>1</v>
      </c>
      <c r="AQ88" s="435">
        <f t="shared" si="243"/>
        <v>2</v>
      </c>
      <c r="AR88" s="435">
        <f t="shared" si="243"/>
        <v>2</v>
      </c>
      <c r="AS88" s="435">
        <f t="shared" si="243"/>
        <v>6</v>
      </c>
      <c r="AT88" s="436">
        <f t="shared" si="243"/>
        <v>-4</v>
      </c>
      <c r="AU88" s="425">
        <f>INDEX($DL$6:$DL$53,MATCH(AI88,$DP$6:$DP$53,0))</f>
        <v>1</v>
      </c>
      <c r="AV88" s="426" t="str">
        <f>INDEX($BD$6:$BD$53,MATCH(AI88,$BM$6:$BM$53,0))</f>
        <v>DR Congo</v>
      </c>
      <c r="AW88" s="579"/>
      <c r="AX88" s="428"/>
      <c r="AY88" s="429" t="str">
        <f>+A87</f>
        <v>Uzbekistan</v>
      </c>
      <c r="AZ88" s="430"/>
      <c r="BA88" s="378"/>
    </row>
    <row r="89" spans="1:118" ht="16.149999999999999" customHeight="1" thickBot="1">
      <c r="D89" s="8" t="str">
        <f t="shared" si="228"/>
        <v>Empate</v>
      </c>
      <c r="E89" s="8" t="str">
        <f t="shared" si="229"/>
        <v>P.3 (2)</v>
      </c>
      <c r="F89" s="8" t="str">
        <f t="shared" si="230"/>
        <v>P.3 (2)</v>
      </c>
      <c r="H89" s="8" t="str">
        <f t="shared" si="231"/>
        <v>P.3 (2)</v>
      </c>
      <c r="I89" s="8" t="str">
        <f t="shared" si="232"/>
        <v>P.3 (2)</v>
      </c>
      <c r="K89" s="8" t="str">
        <f t="shared" si="233"/>
        <v>P.3 (2)</v>
      </c>
      <c r="L89" s="8" t="str">
        <f t="shared" si="234"/>
        <v>P.3 (2)</v>
      </c>
      <c r="N89" s="8" t="str">
        <f t="shared" si="235"/>
        <v>P.3 (2)</v>
      </c>
      <c r="O89" s="8" t="str">
        <f t="shared" si="236"/>
        <v>P.3 (2)</v>
      </c>
      <c r="Q89" s="8" t="str">
        <f t="shared" si="237"/>
        <v>P.3 (2)</v>
      </c>
      <c r="R89" s="8" t="str">
        <f t="shared" si="238"/>
        <v>P.3 (2)</v>
      </c>
      <c r="T89" s="8" t="str">
        <f t="shared" si="239"/>
        <v>P.3 (2)</v>
      </c>
      <c r="U89" s="8" t="str">
        <f t="shared" si="240"/>
        <v>P.3 (2)</v>
      </c>
      <c r="V89" s="379"/>
      <c r="W89" s="608"/>
      <c r="X89" s="439">
        <f>Horarios!C89</f>
        <v>46200.8125</v>
      </c>
      <c r="Y89" s="440">
        <f>Horarios!C89</f>
        <v>46200.8125</v>
      </c>
      <c r="Z89" s="441" t="str">
        <f>$Z$8</f>
        <v>R3</v>
      </c>
      <c r="AA89" s="442" t="str">
        <f>A86</f>
        <v>DR Congo</v>
      </c>
      <c r="AB89" s="443" t="str">
        <f t="array" aca="1" ref="AB89" ca="1">Ver_flag_local</f>
        <v/>
      </c>
      <c r="AC89" s="17">
        <v>1</v>
      </c>
      <c r="AD89" s="18">
        <v>1</v>
      </c>
      <c r="AE89" s="444" t="str">
        <f t="array" aca="1" ref="AE89" ca="1">Ver_flag_visit</f>
        <v/>
      </c>
      <c r="AF89" s="445" t="str">
        <f>A87</f>
        <v>Uzbekistan</v>
      </c>
      <c r="AG89" s="404">
        <f t="shared" si="241"/>
        <v>1</v>
      </c>
      <c r="AH89" s="405">
        <v>72</v>
      </c>
      <c r="AI89" s="406" t="str">
        <f>AJ89&amp;$B$84</f>
        <v>4K</v>
      </c>
      <c r="AJ89" s="446">
        <v>4</v>
      </c>
      <c r="AK89" s="485" t="str">
        <f t="array" aca="1" ref="AK89" ca="1">Ver_flag_visit</f>
        <v/>
      </c>
      <c r="AL89" s="448" t="str">
        <f>IFERROR(INDEX($BD$6:$BD$53,MATCH(AI89,$BN$6:$BN$53,0)),"")</f>
        <v>Uzbekistan</v>
      </c>
      <c r="AM89" s="449">
        <f t="shared" si="243"/>
        <v>1</v>
      </c>
      <c r="AN89" s="450">
        <f t="shared" si="243"/>
        <v>3</v>
      </c>
      <c r="AO89" s="450">
        <f t="shared" si="243"/>
        <v>0</v>
      </c>
      <c r="AP89" s="450">
        <f t="shared" si="243"/>
        <v>1</v>
      </c>
      <c r="AQ89" s="450">
        <f t="shared" si="243"/>
        <v>2</v>
      </c>
      <c r="AR89" s="450">
        <f t="shared" si="243"/>
        <v>2</v>
      </c>
      <c r="AS89" s="450">
        <f t="shared" si="243"/>
        <v>8</v>
      </c>
      <c r="AT89" s="451">
        <f t="shared" si="243"/>
        <v>-6</v>
      </c>
      <c r="AU89" s="425">
        <f>INDEX($DL$6:$DL$53,MATCH(AI89,$DP$6:$DP$53,0))</f>
        <v>1</v>
      </c>
      <c r="AV89" s="426" t="str">
        <f>INDEX($BD$6:$BD$53,MATCH(AI89,$BM$6:$BM$53,0))</f>
        <v>Uzbekistan</v>
      </c>
      <c r="AW89" s="579"/>
      <c r="AX89" s="428"/>
      <c r="AY89" s="452" t="str">
        <f>+A88</f>
        <v>Colombia</v>
      </c>
      <c r="AZ89" s="453"/>
      <c r="BA89" s="378"/>
    </row>
    <row r="90" spans="1:118" ht="16.149999999999999" customHeight="1" thickBot="1">
      <c r="V90" s="379"/>
      <c r="W90" s="454"/>
      <c r="X90" s="455"/>
      <c r="Y90" s="454"/>
      <c r="Z90" s="456"/>
      <c r="AA90" s="457"/>
      <c r="AB90" s="458"/>
      <c r="AC90" s="459"/>
      <c r="AD90" s="459"/>
      <c r="AE90" s="458"/>
      <c r="AF90" s="460"/>
      <c r="AG90" s="484"/>
      <c r="AH90" s="405"/>
      <c r="AI90" s="374"/>
      <c r="AJ90" s="461"/>
      <c r="AK90" s="462"/>
      <c r="AL90" s="395"/>
      <c r="AM90" s="463"/>
      <c r="AN90" s="461"/>
      <c r="AO90" s="461"/>
      <c r="AP90" s="461"/>
      <c r="AQ90" s="461"/>
      <c r="AR90" s="461"/>
      <c r="AS90" s="461"/>
      <c r="AT90" s="461"/>
      <c r="AU90" s="425"/>
      <c r="AV90" s="464"/>
      <c r="AW90" s="427"/>
      <c r="AX90" s="428"/>
      <c r="AY90" s="454"/>
      <c r="AZ90" s="455"/>
      <c r="BA90" s="378"/>
    </row>
    <row r="91" spans="1:118" ht="16.149999999999999" customHeight="1" thickBot="1">
      <c r="V91" s="379"/>
      <c r="W91" s="388"/>
      <c r="X91" s="389" t="str">
        <f>X3</f>
        <v>Date</v>
      </c>
      <c r="Y91" s="389" t="str">
        <f>Y3</f>
        <v>Hour</v>
      </c>
      <c r="Z91" s="486" t="str">
        <f>Z3</f>
        <v>R</v>
      </c>
      <c r="AA91" s="487" t="str">
        <f>AA3</f>
        <v>Home</v>
      </c>
      <c r="AB91" s="486"/>
      <c r="AC91" s="389" t="str">
        <f>AC3</f>
        <v>Goals</v>
      </c>
      <c r="AD91" s="389" t="str">
        <f>AD3</f>
        <v>Goals</v>
      </c>
      <c r="AE91" s="486"/>
      <c r="AF91" s="488" t="str">
        <f>AF3</f>
        <v>Away</v>
      </c>
      <c r="AG91" s="465"/>
      <c r="AH91" s="405"/>
      <c r="AI91" s="382"/>
      <c r="AJ91" s="395"/>
      <c r="AK91" s="466"/>
      <c r="AL91" s="395"/>
      <c r="AM91" s="395"/>
      <c r="AN91" s="395"/>
      <c r="AO91" s="395"/>
      <c r="AP91" s="395"/>
      <c r="AQ91" s="395"/>
      <c r="AR91" s="395"/>
      <c r="AS91" s="395"/>
      <c r="AT91" s="395"/>
      <c r="AU91" s="467"/>
      <c r="AV91" s="384"/>
      <c r="AW91" s="468"/>
      <c r="AX91" s="469"/>
      <c r="AY91" s="454"/>
      <c r="AZ91" s="455"/>
      <c r="BA91" s="378"/>
    </row>
    <row r="92" spans="1:118" ht="16.149999999999999" customHeight="1" thickBot="1">
      <c r="A92" s="8" t="s">
        <v>19</v>
      </c>
      <c r="B92" s="8" t="s">
        <v>134</v>
      </c>
      <c r="C92" s="8">
        <f>COUNTIF(Equipos!$C$2:$C$49,WORLDCUP!B92)</f>
        <v>4</v>
      </c>
      <c r="D92" s="8" t="str">
        <f t="shared" ref="D92:D97" si="244">IF(OR(AC92="",AD92=""),"Pendiente",IF(AC92&gt;AD92,"Local",IF(AC92&lt;AD92,"Visitante","Empate")))</f>
        <v>Empate</v>
      </c>
      <c r="E92" s="8" t="str">
        <f t="shared" ref="E92:E97" si="245">IF(D92="Pendiente","-",INDEX($BT$6:$BT$53,MATCH($AA92,$BD$6:$BD$53,0)))</f>
        <v>P.1 (2)</v>
      </c>
      <c r="F92" s="8" t="str">
        <f t="shared" ref="F92:F97" si="246">IF(D92="Pendiente","-",INDEX($BT$6:$BT$53,MATCH($AF92,$BD$6:$BD$53,0)))</f>
        <v>P.1 (2)</v>
      </c>
      <c r="H92" s="8" t="str">
        <f t="shared" ref="H92:H97" si="247">IF(D92="Pendiente","-",INDEX($BZ$6:$BZ$53,MATCH($AA92,$BD$6:$BD$53,0)))</f>
        <v>P.1 (2)</v>
      </c>
      <c r="I92" s="8" t="str">
        <f t="shared" ref="I92:I97" si="248">IF(D92="Pendiente","-",INDEX($BZ$6:$BZ$53,MATCH($AF92,$BD$6:$BD$53,0)))</f>
        <v>P.1 (2)</v>
      </c>
      <c r="K92" s="8" t="str">
        <f t="shared" ref="K92:K97" si="249">IF(D92="Pendiente","-",INDEX($CE$6:$CE$53,MATCH($AA92,$BD$6:$BD$53,0)))</f>
        <v>P.1 (2)</v>
      </c>
      <c r="L92" s="8" t="str">
        <f t="shared" ref="L92:L97" si="250">IF(D92="Pendiente","-",INDEX($CE$6:$CE$53,MATCH($AF92,$BD$6:$BD$53,0)))</f>
        <v>P.1 (2)</v>
      </c>
      <c r="N92" s="8" t="str">
        <f t="shared" ref="N92:N97" si="251">IF(D92="Pendiente","-",INDEX($CH$6:$CH$53,MATCH($AA92,$BD$6:$BD$53,0)))</f>
        <v>P.1 (2)</v>
      </c>
      <c r="O92" s="8" t="str">
        <f t="shared" ref="O92:O97" si="252">IF(D92="Pendiente","-",INDEX($CH$6:$CH$53,MATCH($AF92,$BD$6:$BD$53,0)))</f>
        <v>P.1 (2)</v>
      </c>
      <c r="Q92" s="8" t="str">
        <f t="shared" ref="Q92:Q97" si="253">IF(D92="Pendiente","-",INDEX($CN$6:$CN$53,MATCH($AA92,$BD$6:$BD$53,0)))</f>
        <v>P.1 (2)</v>
      </c>
      <c r="R92" s="8" t="str">
        <f t="shared" ref="R92:R97" si="254">IF(D92="Pendiente","-",INDEX($CN$6:$CN$53,MATCH($AF92,$BD$6:$BD$53,0)))</f>
        <v>P.1 (2)</v>
      </c>
      <c r="T92" s="8" t="str">
        <f t="shared" ref="T92:T97" si="255">IF(D92="Pendiente","-",INDEX($CS$6:$CS$53,MATCH($AA92,$BD$6:$BD$53,0)))</f>
        <v>P.1 (2)</v>
      </c>
      <c r="U92" s="8" t="str">
        <f t="shared" ref="U92:U97" si="256">IF(D92="Pendiente","-",INDEX($CS$6:$CS$53,MATCH($AF92,$BD$6:$BD$53,0)))</f>
        <v>P.1 (2)</v>
      </c>
      <c r="V92" s="379"/>
      <c r="W92" s="631" t="s">
        <v>134</v>
      </c>
      <c r="X92" s="397">
        <f>Horarios!C92</f>
        <v>46190.666666666657</v>
      </c>
      <c r="Y92" s="398">
        <f>Horarios!C92</f>
        <v>46190.666666666657</v>
      </c>
      <c r="Z92" s="399" t="str">
        <f>$Z$4</f>
        <v>R1</v>
      </c>
      <c r="AA92" s="400" t="str">
        <f>A93</f>
        <v>England</v>
      </c>
      <c r="AB92" s="401" t="str">
        <f t="array" aca="1" ref="AB92" ca="1">Ver_flag_local</f>
        <v/>
      </c>
      <c r="AC92" s="15">
        <v>2</v>
      </c>
      <c r="AD92" s="16">
        <v>2</v>
      </c>
      <c r="AE92" s="402" t="str">
        <f t="array" aca="1" ref="AE92" ca="1">Ver_flag_visit</f>
        <v/>
      </c>
      <c r="AF92" s="403" t="str">
        <f>A94</f>
        <v>Croatia</v>
      </c>
      <c r="AG92" s="404">
        <f t="shared" ref="AG92:AG97" si="257">IF(NOT(OR(ISBLANK(AC92),ISBLANK(AD92))),1,0)</f>
        <v>1</v>
      </c>
      <c r="AH92" s="405">
        <v>22</v>
      </c>
      <c r="AI92" s="406"/>
      <c r="AJ92" s="407" t="str">
        <f>CONCATENATE(AJ3," ",B92)</f>
        <v>Group L</v>
      </c>
      <c r="AK92" s="408"/>
      <c r="AL92" s="408"/>
      <c r="AM92" s="408"/>
      <c r="AN92" s="408"/>
      <c r="AO92" s="408"/>
      <c r="AP92" s="408"/>
      <c r="AQ92" s="408"/>
      <c r="AR92" s="408"/>
      <c r="AS92" s="408"/>
      <c r="AT92" s="409"/>
      <c r="AU92" s="467"/>
      <c r="AV92" s="410" t="str">
        <f>IF(AU93&gt;0,$AV$3,"")</f>
        <v/>
      </c>
      <c r="AW92" s="471"/>
      <c r="AX92" s="471"/>
      <c r="AY92" s="454"/>
      <c r="AZ92" s="455"/>
      <c r="BA92" s="378"/>
    </row>
    <row r="93" spans="1:118" ht="16.149999999999999" customHeight="1">
      <c r="A93" s="8" t="str">
        <f>+Equipos!B46</f>
        <v>England</v>
      </c>
      <c r="D93" s="8" t="str">
        <f t="shared" si="244"/>
        <v>Local</v>
      </c>
      <c r="E93" s="8" t="str">
        <f t="shared" si="245"/>
        <v>-</v>
      </c>
      <c r="F93" s="8" t="str">
        <f t="shared" si="246"/>
        <v>-</v>
      </c>
      <c r="H93" s="8" t="str">
        <f t="shared" si="247"/>
        <v>-</v>
      </c>
      <c r="I93" s="8" t="str">
        <f t="shared" si="248"/>
        <v>-</v>
      </c>
      <c r="K93" s="8" t="str">
        <f t="shared" si="249"/>
        <v>-</v>
      </c>
      <c r="L93" s="8" t="str">
        <f t="shared" si="250"/>
        <v>-</v>
      </c>
      <c r="N93" s="8" t="str">
        <f t="shared" si="251"/>
        <v>-</v>
      </c>
      <c r="O93" s="8" t="str">
        <f t="shared" si="252"/>
        <v>-</v>
      </c>
      <c r="Q93" s="8" t="str">
        <f t="shared" si="253"/>
        <v>-</v>
      </c>
      <c r="R93" s="8" t="str">
        <f t="shared" si="254"/>
        <v>-</v>
      </c>
      <c r="T93" s="8" t="str">
        <f t="shared" si="255"/>
        <v>-</v>
      </c>
      <c r="U93" s="8" t="str">
        <f t="shared" si="256"/>
        <v>-</v>
      </c>
      <c r="V93" s="379"/>
      <c r="W93" s="607"/>
      <c r="X93" s="397">
        <f>Horarios!C93</f>
        <v>46190.791666666657</v>
      </c>
      <c r="Y93" s="398">
        <f>Horarios!C93</f>
        <v>46190.791666666657</v>
      </c>
      <c r="Z93" s="399" t="str">
        <f>$Z$4</f>
        <v>R1</v>
      </c>
      <c r="AA93" s="400" t="str">
        <f>A95</f>
        <v>Ghana</v>
      </c>
      <c r="AB93" s="401" t="str">
        <f t="array" aca="1" ref="AB93" ca="1">Ver_flag_local</f>
        <v/>
      </c>
      <c r="AC93" s="15">
        <v>2</v>
      </c>
      <c r="AD93" s="16">
        <v>0</v>
      </c>
      <c r="AE93" s="402" t="str">
        <f t="array" aca="1" ref="AE93" ca="1">Ver_flag_visit</f>
        <v/>
      </c>
      <c r="AF93" s="403" t="str">
        <f>A96</f>
        <v>Panama</v>
      </c>
      <c r="AG93" s="404">
        <f t="shared" si="257"/>
        <v>1</v>
      </c>
      <c r="AH93" s="405">
        <v>21</v>
      </c>
      <c r="AI93" s="406"/>
      <c r="AJ93" s="412" t="str">
        <f>AJ5</f>
        <v>Pos</v>
      </c>
      <c r="AK93" s="413"/>
      <c r="AL93" s="414" t="str">
        <f t="shared" ref="AL93:AT93" si="258">AL5</f>
        <v>Nation</v>
      </c>
      <c r="AM93" s="413" t="str">
        <f t="shared" si="258"/>
        <v>Pts</v>
      </c>
      <c r="AN93" s="413" t="str">
        <f t="shared" si="258"/>
        <v>P</v>
      </c>
      <c r="AO93" s="413" t="str">
        <f t="shared" si="258"/>
        <v>W</v>
      </c>
      <c r="AP93" s="413" t="str">
        <f t="shared" si="258"/>
        <v>D</v>
      </c>
      <c r="AQ93" s="413" t="str">
        <f t="shared" si="258"/>
        <v>L</v>
      </c>
      <c r="AR93" s="413" t="str">
        <f t="shared" si="258"/>
        <v>F</v>
      </c>
      <c r="AS93" s="413" t="str">
        <f t="shared" si="258"/>
        <v>A</v>
      </c>
      <c r="AT93" s="415" t="str">
        <f t="shared" si="258"/>
        <v>GD</v>
      </c>
      <c r="AU93" s="467">
        <f>COUNTIF(AU94:AU97,"&gt;1")</f>
        <v>0</v>
      </c>
      <c r="AV93" s="416"/>
      <c r="AW93" s="471"/>
      <c r="AX93" s="471"/>
      <c r="AY93" s="417" t="str">
        <f>AL93</f>
        <v>Nation</v>
      </c>
      <c r="AZ93" s="418" t="str">
        <f>+Idiomas!$D$67</f>
        <v>Deducted Points</v>
      </c>
      <c r="BA93" s="378"/>
    </row>
    <row r="94" spans="1:118" ht="16.149999999999999" customHeight="1">
      <c r="A94" s="8" t="str">
        <f>+Equipos!B47</f>
        <v>Croatia</v>
      </c>
      <c r="D94" s="8" t="str">
        <f t="shared" si="244"/>
        <v>Local</v>
      </c>
      <c r="E94" s="8" t="str">
        <f t="shared" si="245"/>
        <v>P.1 (2)</v>
      </c>
      <c r="F94" s="8" t="str">
        <f t="shared" si="246"/>
        <v>-</v>
      </c>
      <c r="H94" s="8" t="str">
        <f t="shared" si="247"/>
        <v>P.1 (2)</v>
      </c>
      <c r="I94" s="8" t="str">
        <f t="shared" si="248"/>
        <v>-</v>
      </c>
      <c r="K94" s="8" t="str">
        <f t="shared" si="249"/>
        <v>P.1 (2)</v>
      </c>
      <c r="L94" s="8" t="str">
        <f t="shared" si="250"/>
        <v>-</v>
      </c>
      <c r="N94" s="8" t="str">
        <f t="shared" si="251"/>
        <v>P.1 (2)</v>
      </c>
      <c r="O94" s="8" t="str">
        <f t="shared" si="252"/>
        <v>-</v>
      </c>
      <c r="Q94" s="8" t="str">
        <f t="shared" si="253"/>
        <v>P.1 (2)</v>
      </c>
      <c r="R94" s="8" t="str">
        <f t="shared" si="254"/>
        <v>-</v>
      </c>
      <c r="T94" s="8" t="str">
        <f t="shared" si="255"/>
        <v>P.1 (2)</v>
      </c>
      <c r="U94" s="8" t="str">
        <f t="shared" si="256"/>
        <v>-</v>
      </c>
      <c r="V94" s="379"/>
      <c r="W94" s="607"/>
      <c r="X94" s="397">
        <f>Horarios!C94</f>
        <v>46196.666666666657</v>
      </c>
      <c r="Y94" s="398">
        <f>Horarios!C94</f>
        <v>46196.666666666657</v>
      </c>
      <c r="Z94" s="399" t="str">
        <f>$Z$6</f>
        <v>R2</v>
      </c>
      <c r="AA94" s="400" t="str">
        <f>A93</f>
        <v>England</v>
      </c>
      <c r="AB94" s="401" t="str">
        <f t="array" aca="1" ref="AB94" ca="1">Ver_flag_local</f>
        <v/>
      </c>
      <c r="AC94" s="15">
        <v>2</v>
      </c>
      <c r="AD94" s="16">
        <v>1</v>
      </c>
      <c r="AE94" s="402" t="str">
        <f t="array" aca="1" ref="AE94" ca="1">Ver_flag_visit</f>
        <v/>
      </c>
      <c r="AF94" s="403" t="str">
        <f>A95</f>
        <v>Ghana</v>
      </c>
      <c r="AG94" s="404">
        <f t="shared" si="257"/>
        <v>1</v>
      </c>
      <c r="AH94" s="405">
        <v>45</v>
      </c>
      <c r="AI94" s="406" t="str">
        <f>AJ94&amp;$B$92</f>
        <v>1L</v>
      </c>
      <c r="AJ94" s="419">
        <v>1</v>
      </c>
      <c r="AK94" s="473" t="str">
        <f t="array" aca="1" ref="AK94" ca="1">Ver_flag_visit</f>
        <v/>
      </c>
      <c r="AL94" s="421" t="str">
        <f>IFERROR(INDEX($BD$6:$BD$53,MATCH(AI94,$BN$6:$BN$53,0)),"")</f>
        <v>England</v>
      </c>
      <c r="AM94" s="422">
        <f t="shared" ref="AM94:AT97" si="259">INDEX($BE$6:$BN$53,MATCH($AL94,$BD$6:$BD$53,0),MATCH(AM$5,$BE$5:$BN$5,0))</f>
        <v>7</v>
      </c>
      <c r="AN94" s="423">
        <f t="shared" si="259"/>
        <v>3</v>
      </c>
      <c r="AO94" s="423">
        <f t="shared" si="259"/>
        <v>2</v>
      </c>
      <c r="AP94" s="423">
        <f t="shared" si="259"/>
        <v>1</v>
      </c>
      <c r="AQ94" s="423">
        <f t="shared" si="259"/>
        <v>0</v>
      </c>
      <c r="AR94" s="423">
        <f t="shared" si="259"/>
        <v>7</v>
      </c>
      <c r="AS94" s="423">
        <f t="shared" si="259"/>
        <v>3</v>
      </c>
      <c r="AT94" s="424">
        <f t="shared" si="259"/>
        <v>4</v>
      </c>
      <c r="AU94" s="425">
        <f>INDEX($DL$6:$DL$53,MATCH(AI94,$DP$6:$DP$53,0))</f>
        <v>1</v>
      </c>
      <c r="AV94" s="426" t="str">
        <f>INDEX($BD$6:$BD$53,MATCH(AI94,$BM$6:$BM$53,0))</f>
        <v>England</v>
      </c>
      <c r="AW94" s="579"/>
      <c r="AX94" s="428"/>
      <c r="AY94" s="429" t="str">
        <f>+A93</f>
        <v>England</v>
      </c>
      <c r="AZ94" s="430"/>
      <c r="BA94" s="378"/>
    </row>
    <row r="95" spans="1:118" ht="16.149999999999999" customHeight="1">
      <c r="A95" s="8" t="str">
        <f>+Equipos!B48</f>
        <v>Ghana</v>
      </c>
      <c r="D95" s="8" t="str">
        <f t="shared" si="244"/>
        <v>Visitante</v>
      </c>
      <c r="E95" s="8" t="str">
        <f t="shared" si="245"/>
        <v>-</v>
      </c>
      <c r="F95" s="8" t="str">
        <f t="shared" si="246"/>
        <v>P.1 (2)</v>
      </c>
      <c r="H95" s="8" t="str">
        <f t="shared" si="247"/>
        <v>-</v>
      </c>
      <c r="I95" s="8" t="str">
        <f t="shared" si="248"/>
        <v>P.1 (2)</v>
      </c>
      <c r="K95" s="8" t="str">
        <f t="shared" si="249"/>
        <v>-</v>
      </c>
      <c r="L95" s="8" t="str">
        <f t="shared" si="250"/>
        <v>P.1 (2)</v>
      </c>
      <c r="N95" s="8" t="str">
        <f t="shared" si="251"/>
        <v>-</v>
      </c>
      <c r="O95" s="8" t="str">
        <f t="shared" si="252"/>
        <v>P.1 (2)</v>
      </c>
      <c r="Q95" s="8" t="str">
        <f t="shared" si="253"/>
        <v>-</v>
      </c>
      <c r="R95" s="8" t="str">
        <f t="shared" si="254"/>
        <v>P.1 (2)</v>
      </c>
      <c r="T95" s="8" t="str">
        <f t="shared" si="255"/>
        <v>-</v>
      </c>
      <c r="U95" s="8" t="str">
        <f t="shared" si="256"/>
        <v>P.1 (2)</v>
      </c>
      <c r="V95" s="379"/>
      <c r="W95" s="607"/>
      <c r="X95" s="397">
        <f>Horarios!C95</f>
        <v>46196.791666666657</v>
      </c>
      <c r="Y95" s="398">
        <f>Horarios!C95</f>
        <v>46196.791666666657</v>
      </c>
      <c r="Z95" s="399" t="str">
        <f>$Z$6</f>
        <v>R2</v>
      </c>
      <c r="AA95" s="400" t="str">
        <f>A96</f>
        <v>Panama</v>
      </c>
      <c r="AB95" s="401" t="str">
        <f t="array" aca="1" ref="AB95" ca="1">Ver_flag_local</f>
        <v/>
      </c>
      <c r="AC95" s="15">
        <v>0</v>
      </c>
      <c r="AD95" s="16">
        <v>2</v>
      </c>
      <c r="AE95" s="402" t="str">
        <f t="array" aca="1" ref="AE95" ca="1">Ver_flag_visit</f>
        <v/>
      </c>
      <c r="AF95" s="403" t="str">
        <f>A94</f>
        <v>Croatia</v>
      </c>
      <c r="AG95" s="404">
        <f t="shared" si="257"/>
        <v>1</v>
      </c>
      <c r="AH95" s="405">
        <v>46</v>
      </c>
      <c r="AI95" s="406" t="str">
        <f>AJ95&amp;$B$92</f>
        <v>2L</v>
      </c>
      <c r="AJ95" s="431">
        <v>2</v>
      </c>
      <c r="AK95" s="476" t="str">
        <f t="array" aca="1" ref="AK95" ca="1">Ver_flag_visit</f>
        <v/>
      </c>
      <c r="AL95" s="433" t="str">
        <f>IFERROR(INDEX($BD$6:$BD$53,MATCH(AI95,$BN$6:$BN$53,0)),"")</f>
        <v>Croatia</v>
      </c>
      <c r="AM95" s="434">
        <f t="shared" si="259"/>
        <v>7</v>
      </c>
      <c r="AN95" s="435">
        <f t="shared" si="259"/>
        <v>3</v>
      </c>
      <c r="AO95" s="435">
        <f t="shared" si="259"/>
        <v>2</v>
      </c>
      <c r="AP95" s="435">
        <f t="shared" si="259"/>
        <v>1</v>
      </c>
      <c r="AQ95" s="435">
        <f t="shared" si="259"/>
        <v>0</v>
      </c>
      <c r="AR95" s="435">
        <f t="shared" si="259"/>
        <v>6</v>
      </c>
      <c r="AS95" s="435">
        <f t="shared" si="259"/>
        <v>3</v>
      </c>
      <c r="AT95" s="436">
        <f t="shared" si="259"/>
        <v>3</v>
      </c>
      <c r="AU95" s="425">
        <f>INDEX($DL$6:$DL$53,MATCH(AI95,$DP$6:$DP$53,0))</f>
        <v>1</v>
      </c>
      <c r="AV95" s="426" t="str">
        <f>INDEX($BD$6:$BD$53,MATCH(AI95,$BM$6:$BM$53,0))</f>
        <v>Croatia</v>
      </c>
      <c r="AW95" s="579"/>
      <c r="AX95" s="428"/>
      <c r="AY95" s="437" t="str">
        <f>+A94</f>
        <v>Croatia</v>
      </c>
      <c r="AZ95" s="438"/>
      <c r="BA95" s="378"/>
    </row>
    <row r="96" spans="1:118" ht="16.149999999999999" customHeight="1">
      <c r="A96" s="8" t="str">
        <f>+Equipos!B49</f>
        <v>Panama</v>
      </c>
      <c r="D96" s="8" t="str">
        <f t="shared" si="244"/>
        <v>Visitante</v>
      </c>
      <c r="E96" s="8" t="str">
        <f t="shared" si="245"/>
        <v>-</v>
      </c>
      <c r="F96" s="8" t="str">
        <f t="shared" si="246"/>
        <v>P.1 (2)</v>
      </c>
      <c r="H96" s="8" t="str">
        <f t="shared" si="247"/>
        <v>-</v>
      </c>
      <c r="I96" s="8" t="str">
        <f t="shared" si="248"/>
        <v>P.1 (2)</v>
      </c>
      <c r="K96" s="8" t="str">
        <f t="shared" si="249"/>
        <v>-</v>
      </c>
      <c r="L96" s="8" t="str">
        <f t="shared" si="250"/>
        <v>P.1 (2)</v>
      </c>
      <c r="N96" s="8" t="str">
        <f t="shared" si="251"/>
        <v>-</v>
      </c>
      <c r="O96" s="8" t="str">
        <f t="shared" si="252"/>
        <v>P.1 (2)</v>
      </c>
      <c r="Q96" s="8" t="str">
        <f t="shared" si="253"/>
        <v>-</v>
      </c>
      <c r="R96" s="8" t="str">
        <f t="shared" si="254"/>
        <v>P.1 (2)</v>
      </c>
      <c r="T96" s="8" t="str">
        <f t="shared" si="255"/>
        <v>-</v>
      </c>
      <c r="U96" s="8" t="str">
        <f t="shared" si="256"/>
        <v>P.1 (2)</v>
      </c>
      <c r="V96" s="379"/>
      <c r="W96" s="607"/>
      <c r="X96" s="397">
        <f>Horarios!C96</f>
        <v>46200.708333333343</v>
      </c>
      <c r="Y96" s="398">
        <f>Horarios!C96</f>
        <v>46200.708333333343</v>
      </c>
      <c r="Z96" s="399" t="str">
        <f>$Z$8</f>
        <v>R3</v>
      </c>
      <c r="AA96" s="400" t="str">
        <f>A96</f>
        <v>Panama</v>
      </c>
      <c r="AB96" s="401" t="str">
        <f t="array" aca="1" ref="AB96" ca="1">Ver_flag_local</f>
        <v/>
      </c>
      <c r="AC96" s="15">
        <v>0</v>
      </c>
      <c r="AD96" s="16">
        <v>3</v>
      </c>
      <c r="AE96" s="402" t="str">
        <f t="array" aca="1" ref="AE96" ca="1">Ver_flag_visit</f>
        <v/>
      </c>
      <c r="AF96" s="403" t="str">
        <f>A93</f>
        <v>England</v>
      </c>
      <c r="AG96" s="404">
        <f t="shared" si="257"/>
        <v>1</v>
      </c>
      <c r="AH96" s="405">
        <v>67</v>
      </c>
      <c r="AI96" s="406" t="str">
        <f>AJ96&amp;$B$92</f>
        <v>3L</v>
      </c>
      <c r="AJ96" s="431">
        <v>3</v>
      </c>
      <c r="AK96" s="476" t="str">
        <f t="array" aca="1" ref="AK96" ca="1">Ver_flag_visit</f>
        <v/>
      </c>
      <c r="AL96" s="433" t="str">
        <f>IFERROR(INDEX($BD$6:$BD$53,MATCH(AI96,$BN$6:$BN$53,0)),"")</f>
        <v>Ghana</v>
      </c>
      <c r="AM96" s="434">
        <f t="shared" si="259"/>
        <v>3</v>
      </c>
      <c r="AN96" s="435">
        <f t="shared" si="259"/>
        <v>3</v>
      </c>
      <c r="AO96" s="435">
        <f t="shared" si="259"/>
        <v>1</v>
      </c>
      <c r="AP96" s="435">
        <f t="shared" si="259"/>
        <v>0</v>
      </c>
      <c r="AQ96" s="435">
        <f t="shared" si="259"/>
        <v>2</v>
      </c>
      <c r="AR96" s="435">
        <f t="shared" si="259"/>
        <v>4</v>
      </c>
      <c r="AS96" s="435">
        <f t="shared" si="259"/>
        <v>4</v>
      </c>
      <c r="AT96" s="436">
        <f t="shared" si="259"/>
        <v>0</v>
      </c>
      <c r="AU96" s="425">
        <f>INDEX($DL$6:$DL$53,MATCH(AI96,$DP$6:$DP$53,0))</f>
        <v>1</v>
      </c>
      <c r="AV96" s="426" t="str">
        <f>INDEX($BD$6:$BD$53,MATCH(AI96,$BM$6:$BM$53,0))</f>
        <v>Ghana</v>
      </c>
      <c r="AW96" s="579"/>
      <c r="AX96" s="428"/>
      <c r="AY96" s="429" t="str">
        <f>+A95</f>
        <v>Ghana</v>
      </c>
      <c r="AZ96" s="430"/>
      <c r="BA96" s="378"/>
    </row>
    <row r="97" spans="1:62" ht="16.149999999999999" customHeight="1" thickBot="1">
      <c r="D97" s="8" t="str">
        <f t="shared" si="244"/>
        <v>Local</v>
      </c>
      <c r="E97" s="8" t="str">
        <f t="shared" si="245"/>
        <v>P.1 (2)</v>
      </c>
      <c r="F97" s="8" t="str">
        <f t="shared" si="246"/>
        <v>-</v>
      </c>
      <c r="H97" s="8" t="str">
        <f t="shared" si="247"/>
        <v>P.1 (2)</v>
      </c>
      <c r="I97" s="8" t="str">
        <f t="shared" si="248"/>
        <v>-</v>
      </c>
      <c r="K97" s="8" t="str">
        <f t="shared" si="249"/>
        <v>P.1 (2)</v>
      </c>
      <c r="L97" s="8" t="str">
        <f t="shared" si="250"/>
        <v>-</v>
      </c>
      <c r="N97" s="8" t="str">
        <f t="shared" si="251"/>
        <v>P.1 (2)</v>
      </c>
      <c r="O97" s="8" t="str">
        <f t="shared" si="252"/>
        <v>-</v>
      </c>
      <c r="Q97" s="8" t="str">
        <f t="shared" si="253"/>
        <v>P.1 (2)</v>
      </c>
      <c r="R97" s="8" t="str">
        <f t="shared" si="254"/>
        <v>-</v>
      </c>
      <c r="T97" s="8" t="str">
        <f t="shared" si="255"/>
        <v>P.1 (2)</v>
      </c>
      <c r="U97" s="8" t="str">
        <f t="shared" si="256"/>
        <v>-</v>
      </c>
      <c r="V97" s="379"/>
      <c r="W97" s="608"/>
      <c r="X97" s="439">
        <f>Horarios!C97</f>
        <v>46200.708333333343</v>
      </c>
      <c r="Y97" s="440">
        <f>Horarios!C97</f>
        <v>46200.708333333343</v>
      </c>
      <c r="Z97" s="441" t="str">
        <f>$Z$8</f>
        <v>R3</v>
      </c>
      <c r="AA97" s="442" t="str">
        <f>A94</f>
        <v>Croatia</v>
      </c>
      <c r="AB97" s="443" t="str">
        <f t="array" aca="1" ref="AB97" ca="1">Ver_flag_local</f>
        <v/>
      </c>
      <c r="AC97" s="17">
        <v>2</v>
      </c>
      <c r="AD97" s="18">
        <v>1</v>
      </c>
      <c r="AE97" s="444" t="str">
        <f t="array" aca="1" ref="AE97" ca="1">Ver_flag_visit</f>
        <v/>
      </c>
      <c r="AF97" s="445" t="str">
        <f>A95</f>
        <v>Ghana</v>
      </c>
      <c r="AG97" s="404">
        <f t="shared" si="257"/>
        <v>1</v>
      </c>
      <c r="AH97" s="405">
        <v>68</v>
      </c>
      <c r="AI97" s="406" t="str">
        <f>AJ97&amp;$B$92</f>
        <v>4L</v>
      </c>
      <c r="AJ97" s="446">
        <v>4</v>
      </c>
      <c r="AK97" s="485" t="str">
        <f t="array" aca="1" ref="AK97" ca="1">Ver_flag_visit</f>
        <v/>
      </c>
      <c r="AL97" s="448" t="str">
        <f>IFERROR(INDEX($BD$6:$BD$53,MATCH(AI97,$BN$6:$BN$53,0)),"")</f>
        <v>Panama</v>
      </c>
      <c r="AM97" s="449">
        <f t="shared" si="259"/>
        <v>0</v>
      </c>
      <c r="AN97" s="450">
        <f t="shared" si="259"/>
        <v>3</v>
      </c>
      <c r="AO97" s="450">
        <f t="shared" si="259"/>
        <v>0</v>
      </c>
      <c r="AP97" s="450">
        <f t="shared" si="259"/>
        <v>0</v>
      </c>
      <c r="AQ97" s="450">
        <f t="shared" si="259"/>
        <v>3</v>
      </c>
      <c r="AR97" s="450">
        <f t="shared" si="259"/>
        <v>0</v>
      </c>
      <c r="AS97" s="450">
        <f t="shared" si="259"/>
        <v>7</v>
      </c>
      <c r="AT97" s="451">
        <f t="shared" si="259"/>
        <v>-7</v>
      </c>
      <c r="AU97" s="425">
        <f>INDEX($DL$6:$DL$53,MATCH(AI97,$DP$6:$DP$53,0))</f>
        <v>1</v>
      </c>
      <c r="AV97" s="426" t="str">
        <f>INDEX($BD$6:$BD$53,MATCH(AI97,$BM$6:$BM$53,0))</f>
        <v>Panama</v>
      </c>
      <c r="AW97" s="579"/>
      <c r="AX97" s="428"/>
      <c r="AY97" s="452" t="str">
        <f>+A96</f>
        <v>Panama</v>
      </c>
      <c r="AZ97" s="453"/>
      <c r="BA97" s="378"/>
    </row>
    <row r="98" spans="1:62" ht="45.6" customHeight="1" thickBot="1">
      <c r="V98" s="379"/>
      <c r="W98" s="627" t="s">
        <v>135</v>
      </c>
      <c r="X98" s="628"/>
      <c r="Y98" s="628"/>
      <c r="Z98" s="628"/>
      <c r="AA98" s="628"/>
      <c r="AB98" s="628"/>
      <c r="AC98" s="628"/>
      <c r="AD98" s="628"/>
      <c r="AE98" s="628"/>
      <c r="AF98" s="628"/>
      <c r="AG98" s="484"/>
      <c r="AH98" s="374"/>
      <c r="AI98" s="374"/>
      <c r="AJ98" s="461"/>
      <c r="AK98" s="462"/>
      <c r="AL98" s="395"/>
      <c r="AM98" s="463"/>
      <c r="AN98" s="461"/>
      <c r="AO98" s="461"/>
      <c r="AP98" s="461"/>
      <c r="AQ98" s="461"/>
      <c r="AR98" s="461"/>
      <c r="AS98" s="461"/>
      <c r="AT98" s="461"/>
      <c r="AU98" s="425"/>
      <c r="AV98" s="464"/>
      <c r="AW98" s="489"/>
      <c r="AX98" s="490"/>
      <c r="AY98" s="454"/>
      <c r="AZ98" s="455"/>
      <c r="BA98" s="378"/>
    </row>
    <row r="99" spans="1:62" ht="16.149999999999999" customHeight="1" thickBot="1">
      <c r="J99" s="8" t="s">
        <v>136</v>
      </c>
      <c r="V99" s="379"/>
      <c r="W99" s="491" t="str">
        <f>Idiomas!D27</f>
        <v>Round of 32</v>
      </c>
      <c r="X99" s="492"/>
      <c r="Y99" s="493"/>
      <c r="Z99" s="493"/>
      <c r="AA99" s="493"/>
      <c r="AB99" s="493"/>
      <c r="AC99" s="493"/>
      <c r="AD99" s="493"/>
      <c r="AE99" s="493"/>
      <c r="AF99" s="494"/>
      <c r="AG99" s="495"/>
      <c r="AH99" s="426"/>
      <c r="AI99" s="374"/>
      <c r="AJ99" s="496"/>
      <c r="AK99" s="497" t="str">
        <f>+IF(OR($H$113&gt;=48,$AJ$99&gt;=48),"",Idiomas!D69)</f>
        <v/>
      </c>
      <c r="AL99" s="498"/>
      <c r="AM99" s="498"/>
      <c r="AN99" s="498"/>
      <c r="AO99" s="498"/>
      <c r="AP99" s="498"/>
      <c r="AQ99" s="498"/>
      <c r="AR99" s="498"/>
      <c r="AS99" s="498"/>
      <c r="AT99" s="498"/>
      <c r="AU99" s="467"/>
      <c r="AV99" s="384"/>
      <c r="AW99" s="499"/>
      <c r="AX99" s="500"/>
      <c r="AY99" s="454"/>
      <c r="AZ99" s="455"/>
      <c r="BA99" s="378"/>
    </row>
    <row r="100" spans="1:62" ht="16.149999999999999" customHeight="1">
      <c r="A100" s="8" t="s">
        <v>137</v>
      </c>
      <c r="J100" s="8" t="s">
        <v>138</v>
      </c>
      <c r="K100" s="8" t="s">
        <v>139</v>
      </c>
      <c r="M100" s="8" t="s">
        <v>140</v>
      </c>
      <c r="N100" s="8" t="s">
        <v>141</v>
      </c>
      <c r="V100" s="379"/>
      <c r="W100" s="388"/>
      <c r="X100" s="389" t="str">
        <f>X3</f>
        <v>Date</v>
      </c>
      <c r="Y100" s="389" t="str">
        <f>Y3</f>
        <v>Hour</v>
      </c>
      <c r="Z100" s="389" t="s">
        <v>142</v>
      </c>
      <c r="AA100" s="487" t="str">
        <f>AA3</f>
        <v>Home</v>
      </c>
      <c r="AB100" s="486" t="s">
        <v>143</v>
      </c>
      <c r="AC100" s="389" t="str">
        <f>AC3</f>
        <v>Goals</v>
      </c>
      <c r="AD100" s="389" t="str">
        <f>AD3</f>
        <v>Goals</v>
      </c>
      <c r="AE100" s="486" t="s">
        <v>143</v>
      </c>
      <c r="AF100" s="488" t="str">
        <f>AF3</f>
        <v>Away</v>
      </c>
      <c r="AG100" s="495"/>
      <c r="AH100" s="426"/>
      <c r="AI100" s="374"/>
      <c r="AJ100" s="407" t="str">
        <f>Idiomas!D26</f>
        <v>Best third-place teams (positions 1-8 qualify for next round)</v>
      </c>
      <c r="AK100" s="408"/>
      <c r="AL100" s="408"/>
      <c r="AM100" s="408"/>
      <c r="AN100" s="408"/>
      <c r="AO100" s="408"/>
      <c r="AP100" s="408"/>
      <c r="AQ100" s="408"/>
      <c r="AR100" s="408"/>
      <c r="AS100" s="408"/>
      <c r="AT100" s="409"/>
      <c r="AU100" s="501"/>
      <c r="AV100" s="410" t="str">
        <f>IF(AU101&gt;0,$AV$3,"")</f>
        <v>IT'S A TIE! Choose the order of the countries to determine their rankings.</v>
      </c>
      <c r="AW100" s="459"/>
      <c r="AX100" s="459"/>
      <c r="AY100" s="454"/>
      <c r="AZ100" s="455"/>
      <c r="BA100" s="378"/>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South Korea</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South Korea</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Canada</v>
      </c>
      <c r="V101" s="379"/>
      <c r="W101" s="629" t="s">
        <v>145</v>
      </c>
      <c r="X101" s="397">
        <f>Horarios!C101</f>
        <v>46201.625</v>
      </c>
      <c r="Y101" s="398">
        <f>Horarios!C101</f>
        <v>46201.625</v>
      </c>
      <c r="Z101" s="502">
        <f t="shared" ref="Z101:Z116" si="263">AH101</f>
        <v>73</v>
      </c>
      <c r="AA101" s="503" t="str">
        <f t="shared" ref="AA101:AA116" si="264">+INDEX($M$101:$M$147,MATCH(AH101,$J$101:$J$147,0))</f>
        <v>South Korea</v>
      </c>
      <c r="AB101" s="581"/>
      <c r="AC101" s="16">
        <v>3</v>
      </c>
      <c r="AD101" s="16">
        <v>1</v>
      </c>
      <c r="AE101" s="583"/>
      <c r="AF101" s="504" t="str">
        <f t="shared" ref="AF101:AF116" si="265">+INDEX($N$101:$N$147,MATCH(AH101,$J$101:$J$147,0))</f>
        <v>Canada</v>
      </c>
      <c r="AG101" s="404">
        <f t="shared" ref="AG101:AG116" si="266">IF(D101="W"&amp;AH101,0,1)</f>
        <v>1</v>
      </c>
      <c r="AH101" s="405">
        <v>73</v>
      </c>
      <c r="AI101" s="426"/>
      <c r="AJ101" s="412" t="str">
        <f>AJ5</f>
        <v>Pos</v>
      </c>
      <c r="AK101" s="413"/>
      <c r="AL101" s="414" t="str">
        <f t="shared" ref="AL101:AT101" si="267">AL5</f>
        <v>Nation</v>
      </c>
      <c r="AM101" s="413" t="str">
        <f t="shared" si="267"/>
        <v>Pts</v>
      </c>
      <c r="AN101" s="413" t="str">
        <f t="shared" si="267"/>
        <v>P</v>
      </c>
      <c r="AO101" s="413" t="str">
        <f t="shared" si="267"/>
        <v>W</v>
      </c>
      <c r="AP101" s="413" t="str">
        <f t="shared" si="267"/>
        <v>D</v>
      </c>
      <c r="AQ101" s="413" t="str">
        <f t="shared" si="267"/>
        <v>L</v>
      </c>
      <c r="AR101" s="413" t="str">
        <f t="shared" si="267"/>
        <v>F</v>
      </c>
      <c r="AS101" s="413" t="str">
        <f t="shared" si="267"/>
        <v>A</v>
      </c>
      <c r="AT101" s="415" t="str">
        <f t="shared" si="267"/>
        <v>GD</v>
      </c>
      <c r="AU101" s="467">
        <f>COUNTIF(AU102:AU113,"&gt;1")</f>
        <v>4</v>
      </c>
      <c r="AV101" s="384"/>
      <c r="AW101" s="499"/>
      <c r="AX101" s="499"/>
      <c r="AY101" s="505" t="str">
        <f>+IF(OR($H$113&gt;=48,$AJ$99=144),Idiomas!D68,"")</f>
        <v xml:space="preserve">Best 3-placed groups: </v>
      </c>
      <c r="AZ101" s="506" t="str">
        <f>+IF(OR($H$113&gt;=48,$AJ$99=144),BI112,"")</f>
        <v>ABCDFGIL</v>
      </c>
      <c r="BA101" s="378"/>
    </row>
    <row r="102" spans="1:62" ht="16.149999999999999" customHeight="1">
      <c r="A102" s="8" t="s">
        <v>92</v>
      </c>
      <c r="B102" s="8" t="s">
        <v>146</v>
      </c>
      <c r="D102" s="8" t="str">
        <f t="shared" si="260"/>
        <v>Brazil</v>
      </c>
      <c r="E102" s="8" t="s">
        <v>107</v>
      </c>
      <c r="F102" s="8" t="s">
        <v>147</v>
      </c>
      <c r="G102" s="8" t="s">
        <v>80</v>
      </c>
      <c r="H102" s="8">
        <f t="shared" si="261"/>
        <v>12</v>
      </c>
      <c r="J102" s="8">
        <v>74</v>
      </c>
      <c r="K102" s="8">
        <v>46202.75</v>
      </c>
      <c r="L102" s="8" t="s">
        <v>148</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V102" s="379"/>
      <c r="W102" s="607"/>
      <c r="X102" s="397">
        <f>Horarios!C102</f>
        <v>46202.541666666657</v>
      </c>
      <c r="Y102" s="398">
        <f>Horarios!C102</f>
        <v>46202.541666666657</v>
      </c>
      <c r="Z102" s="502">
        <f t="shared" si="263"/>
        <v>76</v>
      </c>
      <c r="AA102" s="503" t="str">
        <f t="shared" si="264"/>
        <v>Brazil</v>
      </c>
      <c r="AB102" s="581"/>
      <c r="AC102" s="19">
        <v>2</v>
      </c>
      <c r="AD102" s="19">
        <v>0</v>
      </c>
      <c r="AE102" s="581"/>
      <c r="AF102" s="504" t="str">
        <f t="shared" si="265"/>
        <v>Sweden</v>
      </c>
      <c r="AG102" s="404">
        <f t="shared" si="266"/>
        <v>1</v>
      </c>
      <c r="AH102" s="405">
        <v>76</v>
      </c>
      <c r="AI102" s="426">
        <v>1</v>
      </c>
      <c r="AJ102" s="586">
        <v>1</v>
      </c>
      <c r="AK102" s="587" t="str">
        <f t="array" aca="1" ref="AK102" ca="1">Ver_flag_visit</f>
        <v/>
      </c>
      <c r="AL102" s="588" t="str">
        <f t="shared" ref="AL102:AL113" si="268">+IF($H$113&gt;=48,INDEX($BD$58:$BD$69,MATCH(AI102,$BN$58:$BN$69,0)),BB58)</f>
        <v>Paraguay</v>
      </c>
      <c r="AM102" s="589">
        <f t="shared" ref="AM102:AT113" si="269">+IF($H$113&gt;=48,INDEX($BE$58:$BN$69,MATCH($AL102,$BD$58:$BD$69,0),MATCH(AM$5,$BE$57:$BN$57,0)),$BB58)</f>
        <v>4</v>
      </c>
      <c r="AN102" s="590">
        <f t="shared" si="269"/>
        <v>3</v>
      </c>
      <c r="AO102" s="590">
        <f t="shared" si="269"/>
        <v>1</v>
      </c>
      <c r="AP102" s="590">
        <f t="shared" si="269"/>
        <v>1</v>
      </c>
      <c r="AQ102" s="591">
        <f t="shared" si="269"/>
        <v>1</v>
      </c>
      <c r="AR102" s="591">
        <f t="shared" si="269"/>
        <v>3</v>
      </c>
      <c r="AS102" s="591">
        <f t="shared" si="269"/>
        <v>2</v>
      </c>
      <c r="AT102" s="592">
        <f t="shared" si="269"/>
        <v>1</v>
      </c>
      <c r="AU102" s="425">
        <f t="shared" ref="AU102:AU113" si="270">IF($H$113=144,INDEX($DL$58:$DL$69,MATCH(AI102,$DP$58:$DP$69,0)),"")</f>
        <v>1</v>
      </c>
      <c r="AV102" s="426" t="str">
        <f t="shared" ref="AV102:AV113" si="271">INDEX($BD$58:$BD$69,MATCH(AI102,$BM$58:$BM$69,0))</f>
        <v>Paraguay</v>
      </c>
      <c r="AW102" s="580"/>
      <c r="AX102" s="507"/>
      <c r="AY102" s="454"/>
      <c r="AZ102" s="455"/>
      <c r="BA102" s="378"/>
      <c r="BE102" t="s">
        <v>149</v>
      </c>
      <c r="BF102" t="s">
        <v>150</v>
      </c>
      <c r="BG102" t="s">
        <v>151</v>
      </c>
      <c r="BI102" t="s">
        <v>152</v>
      </c>
    </row>
    <row r="103" spans="1:62" ht="16.149999999999999" customHeight="1">
      <c r="A103" s="8" t="s">
        <v>96</v>
      </c>
      <c r="B103" s="8" t="s">
        <v>84</v>
      </c>
      <c r="D103" s="8" t="str">
        <f t="shared" si="260"/>
        <v>Germany</v>
      </c>
      <c r="E103" s="8" t="s">
        <v>116</v>
      </c>
      <c r="F103" s="8" t="s">
        <v>89</v>
      </c>
      <c r="G103" s="8" t="s">
        <v>89</v>
      </c>
      <c r="H103" s="8">
        <f t="shared" si="261"/>
        <v>12</v>
      </c>
      <c r="J103" s="8">
        <v>75</v>
      </c>
      <c r="K103" s="8">
        <v>46202.75</v>
      </c>
      <c r="L103" s="8" t="s">
        <v>153</v>
      </c>
      <c r="M103" s="8" t="str">
        <f t="shared" si="262"/>
        <v>Netherlands</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Morocco</v>
      </c>
      <c r="V103" s="379"/>
      <c r="W103" s="607"/>
      <c r="X103" s="397">
        <f>Horarios!C103</f>
        <v>46202.6875</v>
      </c>
      <c r="Y103" s="398">
        <f>Horarios!C103</f>
        <v>46202.6875</v>
      </c>
      <c r="Z103" s="502">
        <f t="shared" si="263"/>
        <v>74</v>
      </c>
      <c r="AA103" s="503" t="str">
        <f t="shared" si="264"/>
        <v>Germany</v>
      </c>
      <c r="AB103" s="581"/>
      <c r="AC103" s="19">
        <v>4</v>
      </c>
      <c r="AD103" s="19">
        <v>1</v>
      </c>
      <c r="AE103" s="581"/>
      <c r="AF103" s="504" t="str">
        <f t="shared" si="265"/>
        <v>Paraguay</v>
      </c>
      <c r="AG103" s="404">
        <f t="shared" si="266"/>
        <v>1</v>
      </c>
      <c r="AH103" s="405">
        <v>74</v>
      </c>
      <c r="AI103" s="426">
        <v>2</v>
      </c>
      <c r="AJ103" s="593">
        <v>2</v>
      </c>
      <c r="AK103" s="594" t="str">
        <f t="array" aca="1" ref="AK103" ca="1">Ver_flag_visit</f>
        <v/>
      </c>
      <c r="AL103" s="595" t="str">
        <f t="shared" si="268"/>
        <v>Ghana</v>
      </c>
      <c r="AM103" s="596">
        <f t="shared" si="269"/>
        <v>3</v>
      </c>
      <c r="AN103" s="597">
        <f t="shared" si="269"/>
        <v>3</v>
      </c>
      <c r="AO103" s="597">
        <f t="shared" si="269"/>
        <v>1</v>
      </c>
      <c r="AP103" s="597">
        <f t="shared" si="269"/>
        <v>0</v>
      </c>
      <c r="AQ103" s="597">
        <f t="shared" si="269"/>
        <v>2</v>
      </c>
      <c r="AR103" s="597">
        <f t="shared" si="269"/>
        <v>4</v>
      </c>
      <c r="AS103" s="597">
        <f t="shared" si="269"/>
        <v>4</v>
      </c>
      <c r="AT103" s="598">
        <f t="shared" si="269"/>
        <v>0</v>
      </c>
      <c r="AU103" s="425">
        <f t="shared" si="270"/>
        <v>1</v>
      </c>
      <c r="AV103" s="426" t="str">
        <f t="shared" si="271"/>
        <v>Ghana</v>
      </c>
      <c r="AW103" s="580"/>
      <c r="AX103" s="507"/>
      <c r="AY103" s="512"/>
      <c r="AZ103" s="513" t="str">
        <f t="shared" ref="AZ103:AZ110" si="272">+IF(OR($H$113&gt;=48,$AJ$99=144),BF117&amp;" - "&amp;BG117,"")</f>
        <v>1A - 3C</v>
      </c>
      <c r="BA103" s="378"/>
      <c r="BF103" t="str">
        <f t="shared" ref="BF103:BF110" si="273">IFERROR(INDEX($BC$6:$BC$53,MATCH(AL102,$BD$6:$BD$53,0)),"")</f>
        <v>D</v>
      </c>
      <c r="BG103">
        <f t="shared" ref="BG103:BG110" si="274">COUNTIF($BF$103:$BF$110,"&lt;="&amp;BF103)</f>
        <v>4</v>
      </c>
      <c r="BI103">
        <v>1</v>
      </c>
      <c r="BJ103" t="str">
        <f t="shared" ref="BJ103:BJ110" si="275">IFERROR(INDEX($BF$103:$BF$110,MATCH(BI103,$BG$103:$BG$110,0)),"Grupo")</f>
        <v>A</v>
      </c>
    </row>
    <row r="104" spans="1:62" ht="16.149999999999999" customHeight="1">
      <c r="A104" s="8" t="s">
        <v>83</v>
      </c>
      <c r="B104" s="8" t="s">
        <v>97</v>
      </c>
      <c r="D104" s="8" t="str">
        <f t="shared" si="260"/>
        <v>Netherlands</v>
      </c>
      <c r="E104" s="8" t="s">
        <v>89</v>
      </c>
      <c r="F104" s="8" t="s">
        <v>116</v>
      </c>
      <c r="G104" s="8" t="s">
        <v>98</v>
      </c>
      <c r="H104" s="8">
        <f t="shared" si="261"/>
        <v>12</v>
      </c>
      <c r="J104" s="8">
        <v>76</v>
      </c>
      <c r="K104" s="8">
        <v>46202.75</v>
      </c>
      <c r="L104" s="8" t="s">
        <v>154</v>
      </c>
      <c r="M104" s="8" t="str">
        <f t="shared" si="262"/>
        <v>Brazil</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Sweden</v>
      </c>
      <c r="V104" s="379"/>
      <c r="W104" s="607"/>
      <c r="X104" s="397">
        <f>Horarios!C104</f>
        <v>46202.875</v>
      </c>
      <c r="Y104" s="398">
        <f>Horarios!C104</f>
        <v>46202.875</v>
      </c>
      <c r="Z104" s="502">
        <f t="shared" si="263"/>
        <v>75</v>
      </c>
      <c r="AA104" s="503" t="str">
        <f t="shared" si="264"/>
        <v>Netherlands</v>
      </c>
      <c r="AB104" s="581"/>
      <c r="AC104" s="19">
        <v>3</v>
      </c>
      <c r="AD104" s="19">
        <v>2</v>
      </c>
      <c r="AE104" s="581"/>
      <c r="AF104" s="504" t="str">
        <f t="shared" si="265"/>
        <v>Morocco</v>
      </c>
      <c r="AG104" s="404">
        <f t="shared" si="266"/>
        <v>1</v>
      </c>
      <c r="AH104" s="405">
        <v>75</v>
      </c>
      <c r="AI104" s="426">
        <v>3</v>
      </c>
      <c r="AJ104" s="593">
        <v>3</v>
      </c>
      <c r="AK104" s="594" t="str">
        <f t="array" aca="1" ref="AK104" ca="1">Ver_flag_visit</f>
        <v/>
      </c>
      <c r="AL104" s="595" t="str">
        <f t="shared" si="268"/>
        <v>Japan</v>
      </c>
      <c r="AM104" s="596">
        <f t="shared" si="269"/>
        <v>3</v>
      </c>
      <c r="AN104" s="597">
        <f t="shared" si="269"/>
        <v>3</v>
      </c>
      <c r="AO104" s="597">
        <f t="shared" si="269"/>
        <v>1</v>
      </c>
      <c r="AP104" s="597">
        <f t="shared" si="269"/>
        <v>0</v>
      </c>
      <c r="AQ104" s="597">
        <f t="shared" si="269"/>
        <v>2</v>
      </c>
      <c r="AR104" s="597">
        <f t="shared" si="269"/>
        <v>3</v>
      </c>
      <c r="AS104" s="597">
        <f t="shared" si="269"/>
        <v>4</v>
      </c>
      <c r="AT104" s="598">
        <f t="shared" si="269"/>
        <v>-1</v>
      </c>
      <c r="AU104" s="425">
        <f t="shared" si="270"/>
        <v>2</v>
      </c>
      <c r="AV104" s="426" t="str">
        <f t="shared" si="271"/>
        <v>Japan</v>
      </c>
      <c r="AW104" s="580">
        <v>1</v>
      </c>
      <c r="AX104" s="507"/>
      <c r="AY104" s="512"/>
      <c r="AZ104" s="513" t="str">
        <f t="shared" si="272"/>
        <v>1B - 3G</v>
      </c>
      <c r="BA104" s="378"/>
      <c r="BF104" t="str">
        <f t="shared" si="273"/>
        <v>L</v>
      </c>
      <c r="BG104">
        <f t="shared" si="274"/>
        <v>8</v>
      </c>
      <c r="BI104">
        <v>2</v>
      </c>
      <c r="BJ104" t="str">
        <f t="shared" si="275"/>
        <v>B</v>
      </c>
    </row>
    <row r="105" spans="1:62" ht="16.149999999999999" customHeight="1">
      <c r="A105" s="8" t="s">
        <v>110</v>
      </c>
      <c r="B105" s="8" t="s">
        <v>155</v>
      </c>
      <c r="D105" s="8" t="str">
        <f t="shared" si="260"/>
        <v>Norway</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Japan</v>
      </c>
      <c r="V105" s="379"/>
      <c r="W105" s="607"/>
      <c r="X105" s="397">
        <f>Horarios!C105</f>
        <v>46203.541666666657</v>
      </c>
      <c r="Y105" s="398">
        <f>Horarios!C105</f>
        <v>46203.541666666657</v>
      </c>
      <c r="Z105" s="502">
        <f t="shared" si="263"/>
        <v>78</v>
      </c>
      <c r="AA105" s="503" t="str">
        <f t="shared" si="264"/>
        <v>Ecuador</v>
      </c>
      <c r="AB105" s="581"/>
      <c r="AC105" s="19">
        <v>0</v>
      </c>
      <c r="AD105" s="19">
        <v>2</v>
      </c>
      <c r="AE105" s="581"/>
      <c r="AF105" s="504" t="str">
        <f t="shared" si="265"/>
        <v>Norway</v>
      </c>
      <c r="AG105" s="404">
        <f t="shared" si="266"/>
        <v>1</v>
      </c>
      <c r="AH105" s="405">
        <v>78</v>
      </c>
      <c r="AI105" s="426">
        <v>4</v>
      </c>
      <c r="AJ105" s="593">
        <v>4</v>
      </c>
      <c r="AK105" s="594" t="str">
        <f t="array" aca="1" ref="AK105" ca="1">Ver_flag_visit</f>
        <v/>
      </c>
      <c r="AL105" s="595" t="str">
        <f t="shared" si="268"/>
        <v>Scotland</v>
      </c>
      <c r="AM105" s="596">
        <f t="shared" si="269"/>
        <v>3</v>
      </c>
      <c r="AN105" s="597">
        <f t="shared" si="269"/>
        <v>3</v>
      </c>
      <c r="AO105" s="597">
        <f t="shared" si="269"/>
        <v>1</v>
      </c>
      <c r="AP105" s="597">
        <f t="shared" si="269"/>
        <v>0</v>
      </c>
      <c r="AQ105" s="597">
        <f t="shared" si="269"/>
        <v>2</v>
      </c>
      <c r="AR105" s="597">
        <f t="shared" si="269"/>
        <v>3</v>
      </c>
      <c r="AS105" s="597">
        <f t="shared" si="269"/>
        <v>4</v>
      </c>
      <c r="AT105" s="598">
        <f t="shared" si="269"/>
        <v>-1</v>
      </c>
      <c r="AU105" s="425">
        <f t="shared" si="270"/>
        <v>2</v>
      </c>
      <c r="AV105" s="426" t="str">
        <f t="shared" si="271"/>
        <v>Scotland</v>
      </c>
      <c r="AW105" s="580">
        <v>2</v>
      </c>
      <c r="AX105" s="507"/>
      <c r="AY105" s="512"/>
      <c r="AZ105" s="513" t="str">
        <f t="shared" si="272"/>
        <v>1D - 3B</v>
      </c>
      <c r="BA105" s="378"/>
      <c r="BF105" t="str">
        <f t="shared" si="273"/>
        <v>F</v>
      </c>
      <c r="BG105">
        <f t="shared" si="274"/>
        <v>5</v>
      </c>
      <c r="BI105">
        <v>3</v>
      </c>
      <c r="BJ105" t="str">
        <f t="shared" si="275"/>
        <v>C</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Ecuador</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Norway</v>
      </c>
      <c r="V106" s="379"/>
      <c r="W106" s="607"/>
      <c r="X106" s="397">
        <f>Horarios!C106</f>
        <v>46203.708333333343</v>
      </c>
      <c r="Y106" s="398">
        <f>Horarios!C106</f>
        <v>46203.708333333343</v>
      </c>
      <c r="Z106" s="502">
        <f t="shared" si="263"/>
        <v>77</v>
      </c>
      <c r="AA106" s="503" t="str">
        <f t="shared" si="264"/>
        <v>France</v>
      </c>
      <c r="AB106" s="581"/>
      <c r="AC106" s="19">
        <v>4</v>
      </c>
      <c r="AD106" s="19">
        <v>1</v>
      </c>
      <c r="AE106" s="581"/>
      <c r="AF106" s="504" t="str">
        <f t="shared" si="265"/>
        <v>Japan</v>
      </c>
      <c r="AG106" s="404">
        <f t="shared" si="266"/>
        <v>1</v>
      </c>
      <c r="AH106" s="405">
        <v>77</v>
      </c>
      <c r="AI106" s="426">
        <v>5</v>
      </c>
      <c r="AJ106" s="593">
        <v>5</v>
      </c>
      <c r="AK106" s="594" t="str">
        <f t="array" aca="1" ref="AK106" ca="1">Ver_flag_visit</f>
        <v/>
      </c>
      <c r="AL106" s="595" t="str">
        <f t="shared" si="268"/>
        <v>Mexico</v>
      </c>
      <c r="AM106" s="596">
        <f t="shared" si="269"/>
        <v>3</v>
      </c>
      <c r="AN106" s="597">
        <f t="shared" si="269"/>
        <v>3</v>
      </c>
      <c r="AO106" s="597">
        <f t="shared" si="269"/>
        <v>1</v>
      </c>
      <c r="AP106" s="597">
        <f t="shared" si="269"/>
        <v>0</v>
      </c>
      <c r="AQ106" s="597">
        <f t="shared" si="269"/>
        <v>2</v>
      </c>
      <c r="AR106" s="597">
        <f t="shared" si="269"/>
        <v>2</v>
      </c>
      <c r="AS106" s="597">
        <f t="shared" si="269"/>
        <v>3</v>
      </c>
      <c r="AT106" s="598">
        <f t="shared" si="269"/>
        <v>-1</v>
      </c>
      <c r="AU106" s="425">
        <f t="shared" si="270"/>
        <v>1</v>
      </c>
      <c r="AV106" s="426" t="str">
        <f t="shared" si="271"/>
        <v>Mexico</v>
      </c>
      <c r="AW106" s="580"/>
      <c r="AX106" s="507"/>
      <c r="AY106" s="512"/>
      <c r="AZ106" s="513" t="str">
        <f t="shared" si="272"/>
        <v>1E - 3D</v>
      </c>
      <c r="BA106" s="378"/>
      <c r="BF106" t="str">
        <f t="shared" si="273"/>
        <v>C</v>
      </c>
      <c r="BG106">
        <f t="shared" si="274"/>
        <v>3</v>
      </c>
      <c r="BI106">
        <v>4</v>
      </c>
      <c r="BJ106" t="str">
        <f t="shared" si="275"/>
        <v>D</v>
      </c>
    </row>
    <row r="107" spans="1:62" ht="16.149999999999999" customHeight="1">
      <c r="A107" s="8" t="s">
        <v>74</v>
      </c>
      <c r="B107" s="8" t="s">
        <v>158</v>
      </c>
      <c r="D107" s="8" t="str">
        <f t="shared" si="260"/>
        <v>Czech Republic</v>
      </c>
      <c r="E107" s="8" t="s">
        <v>20</v>
      </c>
      <c r="F107" s="8" t="s">
        <v>147</v>
      </c>
      <c r="G107" s="8" t="s">
        <v>125</v>
      </c>
      <c r="H107" s="8">
        <f t="shared" si="261"/>
        <v>12</v>
      </c>
      <c r="J107" s="8">
        <v>79</v>
      </c>
      <c r="K107" s="8">
        <v>46203.75</v>
      </c>
      <c r="L107" s="8" t="s">
        <v>159</v>
      </c>
      <c r="M107" s="8" t="str">
        <f t="shared" si="262"/>
        <v>Czech Republic</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Scotland</v>
      </c>
      <c r="V107" s="379"/>
      <c r="W107" s="607"/>
      <c r="X107" s="397">
        <f>Horarios!C107</f>
        <v>46203.875</v>
      </c>
      <c r="Y107" s="398">
        <f>Horarios!C107</f>
        <v>46203.875</v>
      </c>
      <c r="Z107" s="502">
        <f t="shared" si="263"/>
        <v>79</v>
      </c>
      <c r="AA107" s="503" t="str">
        <f t="shared" si="264"/>
        <v>Czech Republic</v>
      </c>
      <c r="AB107" s="581"/>
      <c r="AC107" s="19">
        <v>2</v>
      </c>
      <c r="AD107" s="19">
        <v>1</v>
      </c>
      <c r="AE107" s="581"/>
      <c r="AF107" s="504" t="str">
        <f t="shared" si="265"/>
        <v>Scotland</v>
      </c>
      <c r="AG107" s="404">
        <f t="shared" si="266"/>
        <v>1</v>
      </c>
      <c r="AH107" s="405">
        <v>79</v>
      </c>
      <c r="AI107" s="426">
        <v>6</v>
      </c>
      <c r="AJ107" s="593">
        <v>6</v>
      </c>
      <c r="AK107" s="594" t="str">
        <f t="array" aca="1" ref="AK107" ca="1">Ver_flag_visit</f>
        <v/>
      </c>
      <c r="AL107" s="595" t="str">
        <f t="shared" si="268"/>
        <v>Bosnia and Herzegovina</v>
      </c>
      <c r="AM107" s="596">
        <f t="shared" si="269"/>
        <v>3</v>
      </c>
      <c r="AN107" s="597">
        <f t="shared" si="269"/>
        <v>3</v>
      </c>
      <c r="AO107" s="597">
        <f t="shared" si="269"/>
        <v>1</v>
      </c>
      <c r="AP107" s="597">
        <f t="shared" si="269"/>
        <v>0</v>
      </c>
      <c r="AQ107" s="597">
        <f t="shared" si="269"/>
        <v>2</v>
      </c>
      <c r="AR107" s="597">
        <f t="shared" si="269"/>
        <v>1</v>
      </c>
      <c r="AS107" s="597">
        <f t="shared" si="269"/>
        <v>4</v>
      </c>
      <c r="AT107" s="598">
        <f t="shared" si="269"/>
        <v>-3</v>
      </c>
      <c r="AU107" s="425">
        <f t="shared" si="270"/>
        <v>1</v>
      </c>
      <c r="AV107" s="426" t="str">
        <f t="shared" si="271"/>
        <v>Bosnia and Herzegovina</v>
      </c>
      <c r="AW107" s="580"/>
      <c r="AX107" s="507"/>
      <c r="AY107" s="512"/>
      <c r="AZ107" s="513" t="str">
        <f t="shared" si="272"/>
        <v>1G - 3A</v>
      </c>
      <c r="BA107" s="378"/>
      <c r="BF107" t="str">
        <f t="shared" si="273"/>
        <v>A</v>
      </c>
      <c r="BG107">
        <f t="shared" si="274"/>
        <v>1</v>
      </c>
      <c r="BI107">
        <v>5</v>
      </c>
      <c r="BJ107" t="str">
        <f t="shared" si="275"/>
        <v>F</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V108" s="379"/>
      <c r="W108" s="607"/>
      <c r="X108" s="397">
        <f>Horarios!C108</f>
        <v>46204.5</v>
      </c>
      <c r="Y108" s="398">
        <f>Horarios!C108</f>
        <v>46204.5</v>
      </c>
      <c r="Z108" s="502">
        <f t="shared" si="263"/>
        <v>80</v>
      </c>
      <c r="AA108" s="503" t="str">
        <f t="shared" si="264"/>
        <v>England</v>
      </c>
      <c r="AB108" s="581"/>
      <c r="AC108" s="19">
        <v>3</v>
      </c>
      <c r="AD108" s="19">
        <v>0</v>
      </c>
      <c r="AE108" s="581"/>
      <c r="AF108" s="504" t="str">
        <f t="shared" si="265"/>
        <v>Senegal</v>
      </c>
      <c r="AG108" s="404">
        <f t="shared" si="266"/>
        <v>1</v>
      </c>
      <c r="AH108" s="405">
        <v>80</v>
      </c>
      <c r="AI108" s="426">
        <v>7</v>
      </c>
      <c r="AJ108" s="593">
        <v>7</v>
      </c>
      <c r="AK108" s="594" t="str">
        <f t="array" aca="1" ref="AK108" ca="1">Ver_flag_visit</f>
        <v/>
      </c>
      <c r="AL108" s="595" t="str">
        <f t="shared" si="268"/>
        <v>Senegal</v>
      </c>
      <c r="AM108" s="596">
        <f t="shared" si="269"/>
        <v>3</v>
      </c>
      <c r="AN108" s="597">
        <f t="shared" si="269"/>
        <v>3</v>
      </c>
      <c r="AO108" s="597">
        <f t="shared" si="269"/>
        <v>1</v>
      </c>
      <c r="AP108" s="597">
        <f t="shared" si="269"/>
        <v>0</v>
      </c>
      <c r="AQ108" s="597">
        <f t="shared" si="269"/>
        <v>2</v>
      </c>
      <c r="AR108" s="597">
        <f t="shared" si="269"/>
        <v>1</v>
      </c>
      <c r="AS108" s="597">
        <f t="shared" si="269"/>
        <v>5</v>
      </c>
      <c r="AT108" s="598">
        <f t="shared" si="269"/>
        <v>-4</v>
      </c>
      <c r="AU108" s="425">
        <f t="shared" si="270"/>
        <v>1</v>
      </c>
      <c r="AV108" s="426" t="str">
        <f t="shared" si="271"/>
        <v>Senegal</v>
      </c>
      <c r="AW108" s="580"/>
      <c r="AX108" s="507"/>
      <c r="AY108" s="512"/>
      <c r="AZ108" s="513" t="str">
        <f t="shared" si="272"/>
        <v>1I - 3F</v>
      </c>
      <c r="BA108" s="378"/>
      <c r="BF108" t="str">
        <f t="shared" si="273"/>
        <v>B</v>
      </c>
      <c r="BG108">
        <f t="shared" si="274"/>
        <v>2</v>
      </c>
      <c r="BI108">
        <v>6</v>
      </c>
      <c r="BJ108" t="str">
        <f t="shared" si="275"/>
        <v>G</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Turkey</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and Herzegovina</v>
      </c>
      <c r="V109" s="379"/>
      <c r="W109" s="607"/>
      <c r="X109" s="397">
        <f>Horarios!C109</f>
        <v>46204.666666666657</v>
      </c>
      <c r="Y109" s="398">
        <f>Horarios!C109</f>
        <v>46204.666666666657</v>
      </c>
      <c r="Z109" s="502">
        <f t="shared" si="263"/>
        <v>82</v>
      </c>
      <c r="AA109" s="503" t="str">
        <f t="shared" si="264"/>
        <v>Belgium</v>
      </c>
      <c r="AB109" s="581"/>
      <c r="AC109" s="19">
        <v>2</v>
      </c>
      <c r="AD109" s="19">
        <v>1</v>
      </c>
      <c r="AE109" s="581"/>
      <c r="AF109" s="504" t="str">
        <f t="shared" si="265"/>
        <v>Mexico</v>
      </c>
      <c r="AG109" s="404">
        <f t="shared" si="266"/>
        <v>1</v>
      </c>
      <c r="AH109" s="405">
        <v>82</v>
      </c>
      <c r="AI109" s="426">
        <v>8</v>
      </c>
      <c r="AJ109" s="593">
        <v>8</v>
      </c>
      <c r="AK109" s="594" t="str">
        <f t="array" aca="1" ref="AK109" ca="1">Ver_flag_visit</f>
        <v/>
      </c>
      <c r="AL109" s="595" t="str">
        <f t="shared" si="268"/>
        <v>Egypt</v>
      </c>
      <c r="AM109" s="596">
        <f t="shared" si="269"/>
        <v>1</v>
      </c>
      <c r="AN109" s="597">
        <f t="shared" si="269"/>
        <v>3</v>
      </c>
      <c r="AO109" s="597">
        <f t="shared" si="269"/>
        <v>0</v>
      </c>
      <c r="AP109" s="597">
        <f t="shared" si="269"/>
        <v>1</v>
      </c>
      <c r="AQ109" s="597">
        <f t="shared" si="269"/>
        <v>2</v>
      </c>
      <c r="AR109" s="597">
        <f t="shared" si="269"/>
        <v>1</v>
      </c>
      <c r="AS109" s="597">
        <f t="shared" si="269"/>
        <v>4</v>
      </c>
      <c r="AT109" s="598">
        <f t="shared" si="269"/>
        <v>-3</v>
      </c>
      <c r="AU109" s="425">
        <f t="shared" si="270"/>
        <v>2</v>
      </c>
      <c r="AV109" s="426" t="str">
        <f t="shared" si="271"/>
        <v>Curaçao</v>
      </c>
      <c r="AW109" s="580">
        <v>2</v>
      </c>
      <c r="AX109" s="507"/>
      <c r="AY109" s="512"/>
      <c r="AZ109" s="513" t="str">
        <f t="shared" si="272"/>
        <v>1K - 3L</v>
      </c>
      <c r="BA109" s="378"/>
      <c r="BF109" t="str">
        <f t="shared" si="273"/>
        <v>I</v>
      </c>
      <c r="BG109">
        <f t="shared" si="274"/>
        <v>7</v>
      </c>
      <c r="BI109">
        <v>7</v>
      </c>
      <c r="BJ109" t="str">
        <f t="shared" si="275"/>
        <v>I</v>
      </c>
    </row>
    <row r="110" spans="1:62" ht="16.149999999999999" customHeight="1">
      <c r="A110" s="8" t="s">
        <v>101</v>
      </c>
      <c r="B110" s="8" t="s">
        <v>164</v>
      </c>
      <c r="D110" s="8" t="str">
        <f t="shared" si="260"/>
        <v>Turkey</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Mexico</v>
      </c>
      <c r="V110" s="379"/>
      <c r="W110" s="607"/>
      <c r="X110" s="397">
        <f>Horarios!C110</f>
        <v>46204.833333333343</v>
      </c>
      <c r="Y110" s="398">
        <f>Horarios!C110</f>
        <v>46204.833333333343</v>
      </c>
      <c r="Z110" s="502">
        <f t="shared" si="263"/>
        <v>81</v>
      </c>
      <c r="AA110" s="503" t="str">
        <f t="shared" si="264"/>
        <v>Turkey</v>
      </c>
      <c r="AB110" s="581"/>
      <c r="AC110" s="19">
        <v>2</v>
      </c>
      <c r="AD110" s="19">
        <v>0</v>
      </c>
      <c r="AE110" s="581"/>
      <c r="AF110" s="504" t="str">
        <f t="shared" si="265"/>
        <v>Bosnia and Herzegovina</v>
      </c>
      <c r="AG110" s="404">
        <f t="shared" si="266"/>
        <v>1</v>
      </c>
      <c r="AH110" s="405">
        <v>81</v>
      </c>
      <c r="AI110" s="426">
        <v>9</v>
      </c>
      <c r="AJ110" s="431">
        <v>9</v>
      </c>
      <c r="AK110" s="476" t="str">
        <f t="array" aca="1" ref="AK110" ca="1">Ver_flag_visit</f>
        <v/>
      </c>
      <c r="AL110" s="508" t="str">
        <f t="shared" si="268"/>
        <v>Curaçao</v>
      </c>
      <c r="AM110" s="509">
        <f t="shared" si="269"/>
        <v>1</v>
      </c>
      <c r="AN110" s="510">
        <f t="shared" si="269"/>
        <v>3</v>
      </c>
      <c r="AO110" s="510">
        <f t="shared" si="269"/>
        <v>0</v>
      </c>
      <c r="AP110" s="510">
        <f t="shared" si="269"/>
        <v>1</v>
      </c>
      <c r="AQ110" s="510">
        <f t="shared" si="269"/>
        <v>2</v>
      </c>
      <c r="AR110" s="510">
        <f t="shared" si="269"/>
        <v>1</v>
      </c>
      <c r="AS110" s="510">
        <f t="shared" si="269"/>
        <v>4</v>
      </c>
      <c r="AT110" s="511">
        <f t="shared" si="269"/>
        <v>-3</v>
      </c>
      <c r="AU110" s="425">
        <f t="shared" si="270"/>
        <v>2</v>
      </c>
      <c r="AV110" s="426" t="str">
        <f t="shared" si="271"/>
        <v>Egypt</v>
      </c>
      <c r="AW110" s="580">
        <v>1</v>
      </c>
      <c r="AX110" s="507"/>
      <c r="AY110" s="512"/>
      <c r="AZ110" s="513" t="str">
        <f t="shared" si="272"/>
        <v>1L - 3I</v>
      </c>
      <c r="BA110" s="378"/>
      <c r="BF110" t="str">
        <f t="shared" si="273"/>
        <v>G</v>
      </c>
      <c r="BG110">
        <f t="shared" si="274"/>
        <v>6</v>
      </c>
      <c r="BI110">
        <v>8</v>
      </c>
      <c r="BJ110" t="str">
        <f t="shared" si="275"/>
        <v>L</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Colombia</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79"/>
      <c r="W111" s="607"/>
      <c r="X111" s="397">
        <f>Horarios!C111</f>
        <v>46205.625</v>
      </c>
      <c r="Y111" s="398">
        <f>Horarios!C111</f>
        <v>46205.625</v>
      </c>
      <c r="Z111" s="502">
        <f t="shared" si="263"/>
        <v>84</v>
      </c>
      <c r="AA111" s="503" t="str">
        <f t="shared" si="264"/>
        <v>Spain</v>
      </c>
      <c r="AB111" s="581"/>
      <c r="AC111" s="19">
        <v>3</v>
      </c>
      <c r="AD111" s="19">
        <v>1</v>
      </c>
      <c r="AE111" s="581"/>
      <c r="AF111" s="504" t="str">
        <f t="shared" si="265"/>
        <v>Austria</v>
      </c>
      <c r="AG111" s="404">
        <f t="shared" si="266"/>
        <v>1</v>
      </c>
      <c r="AH111" s="405">
        <v>84</v>
      </c>
      <c r="AI111" s="426">
        <v>10</v>
      </c>
      <c r="AJ111" s="431">
        <v>10</v>
      </c>
      <c r="AK111" s="476" t="str">
        <f t="array" aca="1" ref="AK111" ca="1">Ver_flag_visit</f>
        <v/>
      </c>
      <c r="AL111" s="508" t="str">
        <f t="shared" si="268"/>
        <v>Jordan</v>
      </c>
      <c r="AM111" s="509">
        <f t="shared" si="269"/>
        <v>1</v>
      </c>
      <c r="AN111" s="510">
        <f t="shared" si="269"/>
        <v>3</v>
      </c>
      <c r="AO111" s="510">
        <f t="shared" si="269"/>
        <v>0</v>
      </c>
      <c r="AP111" s="510">
        <f t="shared" si="269"/>
        <v>1</v>
      </c>
      <c r="AQ111" s="510">
        <f t="shared" si="269"/>
        <v>2</v>
      </c>
      <c r="AR111" s="510">
        <f t="shared" si="269"/>
        <v>0</v>
      </c>
      <c r="AS111" s="510">
        <f t="shared" si="269"/>
        <v>3</v>
      </c>
      <c r="AT111" s="511">
        <f t="shared" si="269"/>
        <v>-3</v>
      </c>
      <c r="AU111" s="425">
        <f t="shared" si="270"/>
        <v>1</v>
      </c>
      <c r="AV111" s="426" t="str">
        <f t="shared" si="271"/>
        <v>Jordan</v>
      </c>
      <c r="AW111" s="580"/>
      <c r="AX111" s="507"/>
      <c r="AY111" s="514"/>
      <c r="AZ111" s="514"/>
      <c r="BA111" s="378"/>
      <c r="BI111" t="s">
        <v>167</v>
      </c>
    </row>
    <row r="112" spans="1:62" ht="16.149999999999999" customHeight="1">
      <c r="A112" s="8" t="s">
        <v>105</v>
      </c>
      <c r="B112" s="8" t="s">
        <v>115</v>
      </c>
      <c r="D112" s="8" t="str">
        <f t="shared" si="260"/>
        <v>Croatia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79"/>
      <c r="W112" s="607"/>
      <c r="X112" s="397">
        <f>Horarios!C112</f>
        <v>46205.791666666657</v>
      </c>
      <c r="Y112" s="398">
        <f>Horarios!C112</f>
        <v>46205.791666666657</v>
      </c>
      <c r="Z112" s="502">
        <f t="shared" si="263"/>
        <v>83</v>
      </c>
      <c r="AA112" s="503" t="str">
        <f t="shared" si="264"/>
        <v>Colombia</v>
      </c>
      <c r="AB112" s="581"/>
      <c r="AC112" s="19">
        <v>1</v>
      </c>
      <c r="AD112" s="19">
        <v>3</v>
      </c>
      <c r="AE112" s="581"/>
      <c r="AF112" s="504" t="str">
        <f t="shared" si="265"/>
        <v>Croatia</v>
      </c>
      <c r="AG112" s="404">
        <f t="shared" si="266"/>
        <v>1</v>
      </c>
      <c r="AH112" s="405">
        <v>83</v>
      </c>
      <c r="AI112" s="426">
        <v>11</v>
      </c>
      <c r="AJ112" s="431">
        <v>11</v>
      </c>
      <c r="AK112" s="476" t="str">
        <f t="array" aca="1" ref="AK112" ca="1">Ver_flag_visit</f>
        <v/>
      </c>
      <c r="AL112" s="508" t="str">
        <f t="shared" si="268"/>
        <v>DR Congo</v>
      </c>
      <c r="AM112" s="509">
        <f t="shared" si="269"/>
        <v>1</v>
      </c>
      <c r="AN112" s="510">
        <f t="shared" si="269"/>
        <v>3</v>
      </c>
      <c r="AO112" s="510">
        <f t="shared" si="269"/>
        <v>0</v>
      </c>
      <c r="AP112" s="510">
        <f t="shared" si="269"/>
        <v>1</v>
      </c>
      <c r="AQ112" s="510">
        <f t="shared" si="269"/>
        <v>2</v>
      </c>
      <c r="AR112" s="510">
        <f t="shared" si="269"/>
        <v>2</v>
      </c>
      <c r="AS112" s="510">
        <f t="shared" si="269"/>
        <v>6</v>
      </c>
      <c r="AT112" s="511">
        <f t="shared" si="269"/>
        <v>-4</v>
      </c>
      <c r="AU112" s="425">
        <f t="shared" si="270"/>
        <v>1</v>
      </c>
      <c r="AV112" s="426" t="str">
        <f t="shared" si="271"/>
        <v>DR Congo</v>
      </c>
      <c r="AW112" s="580"/>
      <c r="AX112" s="507"/>
      <c r="AY112" s="514"/>
      <c r="AZ112" s="514"/>
      <c r="BA112" s="378"/>
      <c r="BI112" t="str">
        <f>IFERROR(CONCATENATE(BJ103,BJ104,BJ105,BJ106,BJ107,BJ108,BJ109,BJ110),"¿A/B/C/D/E/F/G/H/I/J/K/L?")</f>
        <v>ABCDFGIL</v>
      </c>
    </row>
    <row r="113" spans="1:59" ht="16.149999999999999" customHeight="1" thickBot="1">
      <c r="A113" s="8" t="s">
        <v>78</v>
      </c>
      <c r="B113" s="8" t="s">
        <v>169</v>
      </c>
      <c r="D113" s="8" t="str">
        <f t="shared" si="260"/>
        <v>Switzerland</v>
      </c>
      <c r="E113" s="8" t="s">
        <v>80</v>
      </c>
      <c r="F113" s="8" t="s">
        <v>147</v>
      </c>
      <c r="G113" s="8" t="s">
        <v>147</v>
      </c>
      <c r="H113" s="8">
        <f>+IF($AJ$99&lt;&gt;144,SUM(H101:H112),$AJ$99)</f>
        <v>144</v>
      </c>
      <c r="J113" s="8">
        <v>85</v>
      </c>
      <c r="K113" s="8">
        <v>46205.75</v>
      </c>
      <c r="L113" s="8" t="s">
        <v>170</v>
      </c>
      <c r="M113" s="8" t="str">
        <f t="shared" si="262"/>
        <v>Switzerland</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Egypt</v>
      </c>
      <c r="V113" s="379"/>
      <c r="W113" s="607"/>
      <c r="X113" s="397">
        <f>Horarios!C113</f>
        <v>46205.958333333343</v>
      </c>
      <c r="Y113" s="398">
        <f>Horarios!C113</f>
        <v>46205.958333333343</v>
      </c>
      <c r="Z113" s="502">
        <f t="shared" si="263"/>
        <v>85</v>
      </c>
      <c r="AA113" s="503" t="str">
        <f t="shared" si="264"/>
        <v>Switzerland</v>
      </c>
      <c r="AB113" s="581"/>
      <c r="AC113" s="19">
        <v>2</v>
      </c>
      <c r="AD113" s="19">
        <v>0</v>
      </c>
      <c r="AE113" s="583"/>
      <c r="AF113" s="504" t="str">
        <f t="shared" si="265"/>
        <v>Egypt</v>
      </c>
      <c r="AG113" s="404">
        <f t="shared" si="266"/>
        <v>1</v>
      </c>
      <c r="AH113" s="405">
        <v>85</v>
      </c>
      <c r="AI113" s="426">
        <v>12</v>
      </c>
      <c r="AJ113" s="446">
        <v>12</v>
      </c>
      <c r="AK113" s="485" t="str">
        <f t="array" aca="1" ref="AK113" ca="1">Ver_flag_visit</f>
        <v/>
      </c>
      <c r="AL113" s="448" t="str">
        <f t="shared" si="268"/>
        <v>Saudi Arabia</v>
      </c>
      <c r="AM113" s="515">
        <f t="shared" si="269"/>
        <v>1</v>
      </c>
      <c r="AN113" s="450">
        <f t="shared" si="269"/>
        <v>3</v>
      </c>
      <c r="AO113" s="450">
        <f t="shared" si="269"/>
        <v>0</v>
      </c>
      <c r="AP113" s="450">
        <f t="shared" si="269"/>
        <v>1</v>
      </c>
      <c r="AQ113" s="450">
        <f t="shared" si="269"/>
        <v>2</v>
      </c>
      <c r="AR113" s="450">
        <f t="shared" si="269"/>
        <v>1</v>
      </c>
      <c r="AS113" s="450">
        <f t="shared" si="269"/>
        <v>5</v>
      </c>
      <c r="AT113" s="451">
        <f t="shared" si="269"/>
        <v>-4</v>
      </c>
      <c r="AU113" s="425">
        <f t="shared" si="270"/>
        <v>1</v>
      </c>
      <c r="AV113" s="426" t="str">
        <f t="shared" si="271"/>
        <v>Saudi Arabia</v>
      </c>
      <c r="AW113" s="580"/>
      <c r="AX113" s="507"/>
      <c r="AY113" s="454"/>
      <c r="AZ113" s="455"/>
      <c r="BA113" s="378"/>
    </row>
    <row r="114" spans="1:59" ht="16.149999999999999" customHeight="1">
      <c r="A114" s="8" t="s">
        <v>114</v>
      </c>
      <c r="B114" s="8" t="s">
        <v>106</v>
      </c>
      <c r="D114" s="8" t="str">
        <f t="shared" si="260"/>
        <v>United States</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79"/>
      <c r="W114" s="607"/>
      <c r="X114" s="397">
        <f>Horarios!C114</f>
        <v>46206.583333333343</v>
      </c>
      <c r="Y114" s="398">
        <f>Horarios!C114</f>
        <v>46206.583333333343</v>
      </c>
      <c r="Z114" s="502">
        <f t="shared" si="263"/>
        <v>88</v>
      </c>
      <c r="AA114" s="503" t="str">
        <f t="shared" si="264"/>
        <v>United States</v>
      </c>
      <c r="AB114" s="581"/>
      <c r="AC114" s="19">
        <v>3</v>
      </c>
      <c r="AD114" s="19">
        <v>2</v>
      </c>
      <c r="AE114" s="581"/>
      <c r="AF114" s="504" t="str">
        <f t="shared" si="265"/>
        <v>Iran</v>
      </c>
      <c r="AG114" s="404">
        <f t="shared" si="266"/>
        <v>1</v>
      </c>
      <c r="AH114" s="405">
        <v>88</v>
      </c>
      <c r="AI114" s="426"/>
      <c r="AJ114" s="461"/>
      <c r="AK114" s="462"/>
      <c r="AL114" s="395"/>
      <c r="AM114" s="463"/>
      <c r="AN114" s="461"/>
      <c r="AO114" s="461"/>
      <c r="AP114" s="461"/>
      <c r="AQ114" s="461"/>
      <c r="AR114" s="461"/>
      <c r="AS114" s="461"/>
      <c r="AT114" s="461"/>
      <c r="AU114" s="464"/>
      <c r="AV114" s="464"/>
      <c r="AW114" s="516"/>
      <c r="AX114" s="516"/>
      <c r="AY114" s="454"/>
      <c r="AZ114" s="455"/>
      <c r="BA114" s="378"/>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V115" s="379"/>
      <c r="W115" s="607"/>
      <c r="X115" s="397">
        <f>Horarios!C115</f>
        <v>46206.75</v>
      </c>
      <c r="Y115" s="398">
        <f>Horarios!C115</f>
        <v>46206.75</v>
      </c>
      <c r="Z115" s="502">
        <f t="shared" si="263"/>
        <v>86</v>
      </c>
      <c r="AA115" s="503" t="str">
        <f t="shared" si="264"/>
        <v>Argentina</v>
      </c>
      <c r="AB115" s="581"/>
      <c r="AC115" s="19">
        <v>3</v>
      </c>
      <c r="AD115" s="19">
        <v>1</v>
      </c>
      <c r="AE115" s="581"/>
      <c r="AF115" s="504" t="str">
        <f t="shared" si="265"/>
        <v>Uruguay</v>
      </c>
      <c r="AG115" s="404">
        <f t="shared" si="266"/>
        <v>1</v>
      </c>
      <c r="AH115" s="405">
        <v>86</v>
      </c>
      <c r="AI115" s="426"/>
      <c r="AJ115" s="395"/>
      <c r="AK115" s="517"/>
      <c r="AL115" s="518" t="str">
        <f>+IF($AJ$99&gt;=48,Idiomas!D76,"")</f>
        <v/>
      </c>
      <c r="AM115" s="395"/>
      <c r="AN115" s="395"/>
      <c r="AO115" s="395"/>
      <c r="AP115" s="395"/>
      <c r="AQ115" s="395"/>
      <c r="AR115" s="395"/>
      <c r="AS115" s="395"/>
      <c r="AT115" s="395"/>
      <c r="AU115" s="384"/>
      <c r="AV115" s="384"/>
      <c r="AW115" s="519"/>
      <c r="AX115" s="519"/>
      <c r="AY115" s="454"/>
      <c r="AZ115" s="455"/>
      <c r="BA115" s="378"/>
    </row>
    <row r="116" spans="1:59" ht="16.149999999999999" customHeight="1" thickBot="1">
      <c r="A116" s="8" t="s">
        <v>88</v>
      </c>
      <c r="B116" s="8" t="s">
        <v>102</v>
      </c>
      <c r="D116" s="8" t="str">
        <f t="shared" si="260"/>
        <v>Portugal</v>
      </c>
      <c r="E116" s="8" t="s">
        <v>98</v>
      </c>
      <c r="F116" s="8" t="s">
        <v>125</v>
      </c>
      <c r="J116" s="8">
        <v>88</v>
      </c>
      <c r="K116" s="8">
        <v>46206.75</v>
      </c>
      <c r="L116" s="8" t="s">
        <v>174</v>
      </c>
      <c r="M116" s="8" t="str">
        <f t="shared" si="262"/>
        <v>United States</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Iran</v>
      </c>
      <c r="V116" s="379"/>
      <c r="W116" s="608"/>
      <c r="X116" s="439">
        <f>Horarios!C116</f>
        <v>46206.895833333343</v>
      </c>
      <c r="Y116" s="440">
        <f>Horarios!C116</f>
        <v>46206.895833333343</v>
      </c>
      <c r="Z116" s="520">
        <f t="shared" si="263"/>
        <v>87</v>
      </c>
      <c r="AA116" s="503" t="str">
        <f t="shared" si="264"/>
        <v>Portugal</v>
      </c>
      <c r="AB116" s="582"/>
      <c r="AC116" s="79">
        <v>3</v>
      </c>
      <c r="AD116" s="79">
        <v>1</v>
      </c>
      <c r="AE116" s="582"/>
      <c r="AF116" s="504" t="str">
        <f t="shared" si="265"/>
        <v>Ghana</v>
      </c>
      <c r="AG116" s="404">
        <f t="shared" si="266"/>
        <v>1</v>
      </c>
      <c r="AH116" s="405">
        <v>87</v>
      </c>
      <c r="AI116" s="426"/>
      <c r="AJ116" s="387"/>
      <c r="AK116" s="387"/>
      <c r="AL116" s="521"/>
      <c r="AM116" s="378"/>
      <c r="AN116" s="378"/>
      <c r="AO116" s="378"/>
      <c r="AP116" s="378"/>
      <c r="AQ116" s="378"/>
      <c r="AR116" s="378"/>
      <c r="AS116" s="378"/>
      <c r="AT116" s="378"/>
      <c r="AU116" s="522"/>
      <c r="AV116" s="406"/>
      <c r="AW116" s="378"/>
      <c r="AX116" s="378"/>
      <c r="AY116" s="454"/>
      <c r="AZ116" s="455"/>
      <c r="BA116" s="378"/>
    </row>
    <row r="117" spans="1:59" ht="16.149999999999999" customHeight="1" thickBot="1">
      <c r="V117" s="379"/>
      <c r="W117" s="454"/>
      <c r="X117" s="455"/>
      <c r="Y117" s="454"/>
      <c r="Z117" s="456"/>
      <c r="AA117" s="457"/>
      <c r="AB117" s="458"/>
      <c r="AC117" s="459"/>
      <c r="AD117" s="459"/>
      <c r="AE117" s="458"/>
      <c r="AF117" s="460"/>
      <c r="AG117" s="495"/>
      <c r="AH117" s="405"/>
      <c r="AI117" s="426"/>
      <c r="AJ117" s="387"/>
      <c r="AK117" s="387"/>
      <c r="AL117" s="523"/>
      <c r="AM117" s="378"/>
      <c r="AN117" s="378"/>
      <c r="AO117" s="378"/>
      <c r="AP117" s="378"/>
      <c r="AQ117" s="378"/>
      <c r="AR117" s="378"/>
      <c r="AS117" s="378"/>
      <c r="AT117" s="378"/>
      <c r="AU117" s="522"/>
      <c r="AV117" s="406"/>
      <c r="AW117" s="378"/>
      <c r="AX117" s="378"/>
      <c r="AY117" s="454"/>
      <c r="AZ117" s="455"/>
      <c r="BA117" s="378"/>
      <c r="BF117" t="s">
        <v>74</v>
      </c>
      <c r="BG117" t="str">
        <f>+IFERROR(INDEX(Combinaciones!$P$2:$W$496,MATCH(1,Combinaciones!$B$2:$B$497,0),MATCH(WORLDCUP!BF117,Combinaciones!$P$1:$W$1,0)),"")</f>
        <v>3C</v>
      </c>
    </row>
    <row r="118" spans="1:59" ht="16.149999999999999" customHeight="1" thickBot="1">
      <c r="V118" s="379"/>
      <c r="W118" s="491" t="str">
        <f>Idiomas!D28</f>
        <v>Round of 16</v>
      </c>
      <c r="X118" s="492"/>
      <c r="Y118" s="493"/>
      <c r="Z118" s="493"/>
      <c r="AA118" s="493"/>
      <c r="AB118" s="493"/>
      <c r="AC118" s="493"/>
      <c r="AD118" s="493"/>
      <c r="AE118" s="493"/>
      <c r="AF118" s="494"/>
      <c r="AG118" s="495"/>
      <c r="AH118" s="405"/>
      <c r="AI118" s="426"/>
      <c r="AJ118" s="378"/>
      <c r="AK118" s="387"/>
      <c r="AL118" s="523"/>
      <c r="AM118" s="378"/>
      <c r="AN118" s="378"/>
      <c r="AO118" s="378"/>
      <c r="AP118" s="378"/>
      <c r="AQ118" s="378"/>
      <c r="AR118" s="378"/>
      <c r="AS118" s="378"/>
      <c r="AT118" s="378"/>
      <c r="AU118" s="522"/>
      <c r="AV118" s="406"/>
      <c r="AW118" s="378"/>
      <c r="AX118" s="378"/>
      <c r="AY118" s="454"/>
      <c r="AZ118" s="455"/>
      <c r="BA118" s="378"/>
      <c r="BF118" t="s">
        <v>78</v>
      </c>
      <c r="BG118" t="str">
        <f>+IFERROR(INDEX(Combinaciones!$P$2:$W$496,MATCH(1,Combinaciones!$B$2:$B$497,0),MATCH(WORLDCUP!BF118,Combinaciones!$P$1:$W$1,0)),"")</f>
        <v>3G</v>
      </c>
    </row>
    <row r="119" spans="1:59" ht="16.149999999999999" customHeight="1">
      <c r="V119" s="379"/>
      <c r="W119" s="388"/>
      <c r="X119" s="389" t="str">
        <f>X3</f>
        <v>Date</v>
      </c>
      <c r="Y119" s="389" t="str">
        <f>Y3</f>
        <v>Hour</v>
      </c>
      <c r="Z119" s="486"/>
      <c r="AA119" s="487" t="str">
        <f>AA3</f>
        <v>Home</v>
      </c>
      <c r="AB119" s="486" t="s">
        <v>143</v>
      </c>
      <c r="AC119" s="389" t="str">
        <f>AC3</f>
        <v>Goals</v>
      </c>
      <c r="AD119" s="389" t="str">
        <f>AD3</f>
        <v>Goals</v>
      </c>
      <c r="AE119" s="486" t="s">
        <v>143</v>
      </c>
      <c r="AF119" s="488" t="str">
        <f>AF3</f>
        <v>Away</v>
      </c>
      <c r="AG119" s="495"/>
      <c r="AH119" s="405"/>
      <c r="AI119" s="426"/>
      <c r="AJ119" s="387"/>
      <c r="AK119" s="387"/>
      <c r="AL119" s="387"/>
      <c r="AM119" s="378"/>
      <c r="AN119" s="378"/>
      <c r="AO119" s="378"/>
      <c r="AP119" s="378"/>
      <c r="AQ119" s="378"/>
      <c r="AR119" s="378"/>
      <c r="AS119" s="378"/>
      <c r="AT119" s="378"/>
      <c r="AU119" s="522"/>
      <c r="AV119" s="406"/>
      <c r="AW119" s="378"/>
      <c r="AX119" s="378"/>
      <c r="AY119" s="454"/>
      <c r="AZ119" s="455"/>
      <c r="BA119" s="378"/>
      <c r="BF119" t="s">
        <v>87</v>
      </c>
      <c r="BG119" t="str">
        <f>+IFERROR(INDEX(Combinaciones!$P$2:$W$496,MATCH(1,Combinaciones!$B$2:$B$497,0),MATCH(WORLDCUP!BF119,Combinaciones!$P$1:$W$1,0)),"")</f>
        <v>3B</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Netherlands</v>
      </c>
      <c r="E120" s="8">
        <v>74</v>
      </c>
      <c r="F120" s="8">
        <v>77</v>
      </c>
      <c r="J120" s="8">
        <v>89</v>
      </c>
      <c r="K120" s="8">
        <v>46207.75</v>
      </c>
      <c r="L120" s="8" t="s">
        <v>177</v>
      </c>
      <c r="M120" s="8" t="str">
        <f t="shared" ref="M120:N127" si="277">+INDEX($D$101:$D$147,MATCH(E120,$AH$101:$AH$147,0))</f>
        <v>Germany</v>
      </c>
      <c r="N120" s="8" t="str">
        <f t="shared" si="277"/>
        <v>France</v>
      </c>
      <c r="V120" s="379"/>
      <c r="W120" s="621" t="s">
        <v>178</v>
      </c>
      <c r="X120" s="397">
        <f>Horarios!C120</f>
        <v>46207.541666666657</v>
      </c>
      <c r="Y120" s="398">
        <f>Horarios!C120</f>
        <v>46207.541666666657</v>
      </c>
      <c r="Z120" s="502">
        <f t="shared" ref="Z120:Z127" si="278">AH120</f>
        <v>90</v>
      </c>
      <c r="AA120" s="503" t="str">
        <f t="shared" ref="AA120:AA127" si="279">+INDEX($M$101:$M$147,MATCH(AH120,$J$101:$J$147,0))</f>
        <v>South Korea</v>
      </c>
      <c r="AB120" s="581"/>
      <c r="AC120" s="20">
        <v>2</v>
      </c>
      <c r="AD120" s="20">
        <v>4</v>
      </c>
      <c r="AE120" s="581"/>
      <c r="AF120" s="504" t="str">
        <f t="shared" ref="AF120:AF127" si="280">+INDEX($N$101:$N$147,MATCH(AH120,$J$101:$J$147,0))</f>
        <v>Netherlands</v>
      </c>
      <c r="AG120" s="404">
        <f t="shared" ref="AG120:AG127" si="281">IF(D120="W"&amp;AH120,0,1)</f>
        <v>1</v>
      </c>
      <c r="AH120" s="405">
        <v>90</v>
      </c>
      <c r="AI120" s="426"/>
      <c r="AJ120" s="387"/>
      <c r="AK120" s="387"/>
      <c r="AL120" s="524"/>
      <c r="AM120" s="378"/>
      <c r="AN120" s="378"/>
      <c r="AO120" s="378"/>
      <c r="AP120" s="378"/>
      <c r="AQ120" s="378"/>
      <c r="AR120" s="378"/>
      <c r="AS120" s="378"/>
      <c r="AT120" s="378"/>
      <c r="AU120" s="522"/>
      <c r="AV120" s="406"/>
      <c r="AW120" s="378"/>
      <c r="AX120" s="378"/>
      <c r="AY120" s="454"/>
      <c r="AZ120" s="455"/>
      <c r="BA120" s="378"/>
      <c r="BF120" t="s">
        <v>92</v>
      </c>
      <c r="BG120" t="str">
        <f>+IFERROR(INDEX(Combinaciones!$P$2:$W$496,MATCH(1,Combinaciones!$B$2:$B$497,0),MATCH(WORLDCUP!BF120,Combinaciones!$P$1:$W$1,0)),"")</f>
        <v>3D</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South Korea</v>
      </c>
      <c r="N121" s="8" t="str">
        <f t="shared" si="277"/>
        <v>Netherlands</v>
      </c>
      <c r="V121" s="379"/>
      <c r="W121" s="611"/>
      <c r="X121" s="397">
        <f>Horarios!C121</f>
        <v>46207.708333333343</v>
      </c>
      <c r="Y121" s="398">
        <f>Horarios!C121</f>
        <v>46207.708333333343</v>
      </c>
      <c r="Z121" s="502">
        <f t="shared" si="278"/>
        <v>89</v>
      </c>
      <c r="AA121" s="503" t="str">
        <f t="shared" si="279"/>
        <v>Germany</v>
      </c>
      <c r="AB121" s="581"/>
      <c r="AC121" s="21">
        <v>2</v>
      </c>
      <c r="AD121" s="21">
        <v>3</v>
      </c>
      <c r="AE121" s="581"/>
      <c r="AF121" s="504" t="str">
        <f t="shared" si="280"/>
        <v>France</v>
      </c>
      <c r="AG121" s="404">
        <f t="shared" si="281"/>
        <v>1</v>
      </c>
      <c r="AH121" s="405">
        <v>89</v>
      </c>
      <c r="AI121" s="426"/>
      <c r="AJ121" s="387"/>
      <c r="AK121" s="387"/>
      <c r="AL121" s="387"/>
      <c r="AM121" s="378"/>
      <c r="AN121" s="378"/>
      <c r="AO121" s="378"/>
      <c r="AP121" s="378"/>
      <c r="AQ121" s="378"/>
      <c r="AR121" s="378"/>
      <c r="AS121" s="378"/>
      <c r="AT121" s="378"/>
      <c r="AU121" s="522"/>
      <c r="AV121" s="406"/>
      <c r="AW121" s="378"/>
      <c r="AX121" s="378"/>
      <c r="AY121" s="454"/>
      <c r="AZ121" s="455"/>
      <c r="BA121" s="378"/>
      <c r="BF121" t="s">
        <v>101</v>
      </c>
      <c r="BG121" t="str">
        <f>+IFERROR(INDEX(Combinaciones!$P$2:$W$496,MATCH(1,Combinaciones!$B$2:$B$497,0),MATCH(WORLDCUP!BF121,Combinaciones!$P$1:$W$1,0)),"")</f>
        <v>3A</v>
      </c>
    </row>
    <row r="122" spans="1:59" ht="16.149999999999999" customHeight="1">
      <c r="A122" s="8" t="s">
        <v>182</v>
      </c>
      <c r="B122" s="8" t="s">
        <v>183</v>
      </c>
      <c r="D122" s="8" t="str">
        <f t="shared" si="276"/>
        <v>Norway</v>
      </c>
      <c r="E122" s="8">
        <v>76</v>
      </c>
      <c r="F122" s="8">
        <v>78</v>
      </c>
      <c r="J122" s="8">
        <v>91</v>
      </c>
      <c r="K122" s="8">
        <v>46208.75</v>
      </c>
      <c r="L122" s="8" t="s">
        <v>184</v>
      </c>
      <c r="M122" s="8" t="str">
        <f t="shared" si="277"/>
        <v>Brazil</v>
      </c>
      <c r="N122" s="8" t="str">
        <f t="shared" si="277"/>
        <v>Norway</v>
      </c>
      <c r="V122" s="379"/>
      <c r="W122" s="611"/>
      <c r="X122" s="397">
        <f>Horarios!C122</f>
        <v>46208.666666666657</v>
      </c>
      <c r="Y122" s="398">
        <f>Horarios!C122</f>
        <v>46208.666666666657</v>
      </c>
      <c r="Z122" s="502">
        <f t="shared" si="278"/>
        <v>91</v>
      </c>
      <c r="AA122" s="503" t="str">
        <f t="shared" si="279"/>
        <v>Brazil</v>
      </c>
      <c r="AB122" s="581"/>
      <c r="AC122" s="21">
        <v>1</v>
      </c>
      <c r="AD122" s="21">
        <v>2</v>
      </c>
      <c r="AE122" s="581"/>
      <c r="AF122" s="504" t="str">
        <f t="shared" si="280"/>
        <v>Norway</v>
      </c>
      <c r="AG122" s="404">
        <f t="shared" si="281"/>
        <v>1</v>
      </c>
      <c r="AH122" s="405">
        <v>91</v>
      </c>
      <c r="AI122" s="426"/>
      <c r="AJ122" s="387"/>
      <c r="AK122" s="387"/>
      <c r="AL122" s="387"/>
      <c r="AM122" s="378"/>
      <c r="AN122" s="378"/>
      <c r="AO122" s="378"/>
      <c r="AP122" s="378"/>
      <c r="AQ122" s="378"/>
      <c r="AR122" s="378"/>
      <c r="AS122" s="378"/>
      <c r="AT122" s="378"/>
      <c r="AU122" s="522"/>
      <c r="AV122" s="406"/>
      <c r="AW122" s="378"/>
      <c r="AX122" s="378"/>
      <c r="AY122" s="454"/>
      <c r="AZ122" s="455"/>
      <c r="BA122" s="378"/>
      <c r="BF122" t="s">
        <v>110</v>
      </c>
      <c r="BG122" t="str">
        <f>+IFERROR(INDEX(Combinaciones!$P$2:$W$496,MATCH(1,Combinaciones!$B$2:$B$497,0),MATCH(WORLDCUP!BF122,Combinaciones!$P$1:$W$1,0)),"")</f>
        <v>3F</v>
      </c>
    </row>
    <row r="123" spans="1:59" ht="16.149999999999999" customHeight="1">
      <c r="A123" s="8" t="s">
        <v>185</v>
      </c>
      <c r="B123" s="8" t="s">
        <v>186</v>
      </c>
      <c r="D123" s="8" t="str">
        <f t="shared" si="276"/>
        <v>England</v>
      </c>
      <c r="E123" s="8">
        <v>79</v>
      </c>
      <c r="F123" s="8">
        <v>80</v>
      </c>
      <c r="J123" s="8">
        <v>92</v>
      </c>
      <c r="K123" s="8">
        <v>46208.875</v>
      </c>
      <c r="L123" s="8" t="s">
        <v>187</v>
      </c>
      <c r="M123" s="8" t="str">
        <f t="shared" si="277"/>
        <v>Czech Republic</v>
      </c>
      <c r="N123" s="8" t="str">
        <f t="shared" si="277"/>
        <v>England</v>
      </c>
      <c r="V123" s="379"/>
      <c r="W123" s="611"/>
      <c r="X123" s="397">
        <f>Horarios!C123</f>
        <v>46208.833333333343</v>
      </c>
      <c r="Y123" s="398">
        <f>Horarios!C123</f>
        <v>46208.833333333343</v>
      </c>
      <c r="Z123" s="502">
        <f t="shared" si="278"/>
        <v>92</v>
      </c>
      <c r="AA123" s="503" t="str">
        <f t="shared" si="279"/>
        <v>Czech Republic</v>
      </c>
      <c r="AB123" s="581"/>
      <c r="AC123" s="21">
        <v>1</v>
      </c>
      <c r="AD123" s="21">
        <v>4</v>
      </c>
      <c r="AE123" s="581"/>
      <c r="AF123" s="504" t="str">
        <f t="shared" si="280"/>
        <v>England</v>
      </c>
      <c r="AG123" s="404">
        <f t="shared" si="281"/>
        <v>1</v>
      </c>
      <c r="AH123" s="405">
        <v>92</v>
      </c>
      <c r="AI123" s="426"/>
      <c r="AJ123" s="387"/>
      <c r="AK123" s="387"/>
      <c r="AL123" s="387"/>
      <c r="AM123" s="378"/>
      <c r="AN123" s="378"/>
      <c r="AO123" s="378"/>
      <c r="AP123" s="378"/>
      <c r="AQ123" s="378"/>
      <c r="AR123" s="378"/>
      <c r="AS123" s="378"/>
      <c r="AT123" s="378"/>
      <c r="AU123" s="522"/>
      <c r="AV123" s="406"/>
      <c r="AW123" s="378"/>
      <c r="AX123" s="378"/>
      <c r="AY123" s="454"/>
      <c r="AZ123" s="455"/>
      <c r="BA123" s="378"/>
      <c r="BF123" t="s">
        <v>119</v>
      </c>
      <c r="BG123" t="str">
        <f>+IFERROR(INDEX(Combinaciones!$P$2:$W$496,MATCH(1,Combinaciones!$B$2:$B$497,0),MATCH(WORLDCUP!BF123,Combinaciones!$P$1:$W$1,0)),"")</f>
        <v>3L</v>
      </c>
    </row>
    <row r="124" spans="1:59" ht="16.149999999999999" customHeight="1">
      <c r="A124" s="8" t="s">
        <v>188</v>
      </c>
      <c r="B124" s="8" t="s">
        <v>189</v>
      </c>
      <c r="D124" s="8" t="str">
        <f t="shared" si="276"/>
        <v>Spain</v>
      </c>
      <c r="E124" s="8">
        <v>83</v>
      </c>
      <c r="F124" s="8">
        <v>84</v>
      </c>
      <c r="J124" s="8">
        <v>93</v>
      </c>
      <c r="K124" s="8">
        <v>46209.75</v>
      </c>
      <c r="L124" s="8" t="s">
        <v>190</v>
      </c>
      <c r="M124" s="8" t="str">
        <f t="shared" si="277"/>
        <v>Croatia</v>
      </c>
      <c r="N124" s="8" t="str">
        <f t="shared" si="277"/>
        <v>Spain</v>
      </c>
      <c r="V124" s="379"/>
      <c r="W124" s="611"/>
      <c r="X124" s="397">
        <f>Horarios!C124</f>
        <v>46209.625</v>
      </c>
      <c r="Y124" s="398">
        <f>Horarios!C124</f>
        <v>46209.625</v>
      </c>
      <c r="Z124" s="502">
        <f t="shared" si="278"/>
        <v>93</v>
      </c>
      <c r="AA124" s="503" t="str">
        <f t="shared" si="279"/>
        <v>Croatia</v>
      </c>
      <c r="AB124" s="584"/>
      <c r="AC124" s="21">
        <v>1</v>
      </c>
      <c r="AD124" s="21">
        <v>3</v>
      </c>
      <c r="AE124" s="583"/>
      <c r="AF124" s="504" t="str">
        <f t="shared" si="280"/>
        <v>Spain</v>
      </c>
      <c r="AG124" s="404">
        <f t="shared" si="281"/>
        <v>1</v>
      </c>
      <c r="AH124" s="405">
        <v>93</v>
      </c>
      <c r="AI124" s="426"/>
      <c r="AJ124" s="387"/>
      <c r="AK124" s="387"/>
      <c r="AL124" s="387"/>
      <c r="AM124" s="378"/>
      <c r="AN124" s="378"/>
      <c r="AO124" s="378"/>
      <c r="AP124" s="378"/>
      <c r="AQ124" s="378"/>
      <c r="AR124" s="378"/>
      <c r="AS124" s="378"/>
      <c r="AT124" s="378"/>
      <c r="AU124" s="522"/>
      <c r="AV124" s="406"/>
      <c r="AW124" s="378"/>
      <c r="AX124" s="378"/>
      <c r="AY124" s="454"/>
      <c r="AZ124" s="455"/>
      <c r="BA124" s="378"/>
      <c r="BF124" t="s">
        <v>123</v>
      </c>
      <c r="BG124" t="str">
        <f>+IFERROR(INDEX(Combinaciones!$P$2:$W$496,MATCH(1,Combinaciones!$B$2:$B$497,0),MATCH(WORLDCUP!BF124,Combinaciones!$P$1:$W$1,0)),"")</f>
        <v>3I</v>
      </c>
    </row>
    <row r="125" spans="1:59" ht="16.149999999999999" customHeight="1">
      <c r="A125" s="8" t="s">
        <v>191</v>
      </c>
      <c r="B125" s="8" t="s">
        <v>192</v>
      </c>
      <c r="D125" s="8" t="str">
        <f t="shared" si="276"/>
        <v>Belgium</v>
      </c>
      <c r="E125" s="8">
        <v>81</v>
      </c>
      <c r="F125" s="8">
        <v>82</v>
      </c>
      <c r="J125" s="8">
        <v>94</v>
      </c>
      <c r="K125" s="8">
        <v>46209.875</v>
      </c>
      <c r="L125" s="8" t="s">
        <v>193</v>
      </c>
      <c r="M125" s="8" t="str">
        <f t="shared" si="277"/>
        <v>Turkey</v>
      </c>
      <c r="N125" s="8" t="str">
        <f t="shared" si="277"/>
        <v>Belgium</v>
      </c>
      <c r="V125" s="379"/>
      <c r="W125" s="611"/>
      <c r="X125" s="397">
        <f>Horarios!C125</f>
        <v>46209.833333333343</v>
      </c>
      <c r="Y125" s="398">
        <f>Horarios!C125</f>
        <v>46209.833333333343</v>
      </c>
      <c r="Z125" s="502">
        <f t="shared" si="278"/>
        <v>94</v>
      </c>
      <c r="AA125" s="503" t="str">
        <f t="shared" si="279"/>
        <v>Turkey</v>
      </c>
      <c r="AB125" s="581"/>
      <c r="AC125" s="22">
        <v>1</v>
      </c>
      <c r="AD125" s="22">
        <v>3</v>
      </c>
      <c r="AE125" s="581"/>
      <c r="AF125" s="504" t="str">
        <f t="shared" si="280"/>
        <v>Belgium</v>
      </c>
      <c r="AG125" s="404">
        <f t="shared" si="281"/>
        <v>1</v>
      </c>
      <c r="AH125" s="405">
        <v>94</v>
      </c>
      <c r="AI125" s="426"/>
      <c r="AJ125" s="387"/>
      <c r="AK125" s="387"/>
      <c r="AL125" s="387"/>
      <c r="AM125" s="378"/>
      <c r="AN125" s="378"/>
      <c r="AO125" s="378"/>
      <c r="AP125" s="378"/>
      <c r="AQ125" s="378"/>
      <c r="AR125" s="378"/>
      <c r="AS125" s="378"/>
      <c r="AT125" s="378"/>
      <c r="AU125" s="522"/>
      <c r="AV125" s="406"/>
      <c r="AW125" s="378"/>
      <c r="AX125" s="378"/>
      <c r="AY125" s="454"/>
      <c r="AZ125" s="455"/>
      <c r="BA125" s="378"/>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United States</v>
      </c>
      <c r="V126" s="379"/>
      <c r="W126" s="611"/>
      <c r="X126" s="397">
        <f>Horarios!C126</f>
        <v>46210.5</v>
      </c>
      <c r="Y126" s="398">
        <f>Horarios!C126</f>
        <v>46210.5</v>
      </c>
      <c r="Z126" s="502">
        <f t="shared" si="278"/>
        <v>95</v>
      </c>
      <c r="AA126" s="503" t="str">
        <f t="shared" si="279"/>
        <v>Argentina</v>
      </c>
      <c r="AB126" s="581"/>
      <c r="AC126" s="22">
        <v>3</v>
      </c>
      <c r="AD126" s="22">
        <v>2</v>
      </c>
      <c r="AE126" s="581"/>
      <c r="AF126" s="504" t="str">
        <f t="shared" si="280"/>
        <v>United States</v>
      </c>
      <c r="AG126" s="404">
        <f t="shared" si="281"/>
        <v>1</v>
      </c>
      <c r="AH126" s="405">
        <v>95</v>
      </c>
      <c r="AI126" s="426"/>
      <c r="AJ126" s="387"/>
      <c r="AK126" s="387"/>
      <c r="AL126" s="387"/>
      <c r="AM126" s="378"/>
      <c r="AN126" s="378"/>
      <c r="AO126" s="378"/>
      <c r="AP126" s="378"/>
      <c r="AQ126" s="378"/>
      <c r="AR126" s="378"/>
      <c r="AS126" s="378"/>
      <c r="AT126" s="378"/>
      <c r="AU126" s="522"/>
      <c r="AV126" s="406"/>
      <c r="AW126" s="378"/>
      <c r="AX126" s="378"/>
      <c r="AY126" s="454"/>
      <c r="AZ126" s="455"/>
      <c r="BA126" s="378"/>
    </row>
    <row r="127" spans="1:59" ht="16.149999999999999" customHeight="1" thickBot="1">
      <c r="A127" s="8" t="s">
        <v>197</v>
      </c>
      <c r="B127" s="8" t="s">
        <v>198</v>
      </c>
      <c r="D127" s="8" t="str">
        <f t="shared" si="276"/>
        <v>Portugal</v>
      </c>
      <c r="E127" s="8">
        <v>85</v>
      </c>
      <c r="F127" s="8">
        <v>87</v>
      </c>
      <c r="J127" s="8">
        <v>96</v>
      </c>
      <c r="K127" s="8">
        <v>46210.875</v>
      </c>
      <c r="L127" s="8" t="s">
        <v>199</v>
      </c>
      <c r="M127" s="8" t="str">
        <f t="shared" si="277"/>
        <v>Switzerland</v>
      </c>
      <c r="N127" s="8" t="str">
        <f t="shared" si="277"/>
        <v>Portugal</v>
      </c>
      <c r="V127" s="379"/>
      <c r="W127" s="612"/>
      <c r="X127" s="439">
        <f>Horarios!C127</f>
        <v>46210.666666666657</v>
      </c>
      <c r="Y127" s="440">
        <f>Horarios!C127</f>
        <v>46210.666666666657</v>
      </c>
      <c r="Z127" s="520">
        <f t="shared" si="278"/>
        <v>96</v>
      </c>
      <c r="AA127" s="503" t="str">
        <f t="shared" si="279"/>
        <v>Switzerland</v>
      </c>
      <c r="AB127" s="582"/>
      <c r="AC127" s="23">
        <v>1</v>
      </c>
      <c r="AD127" s="23">
        <v>2</v>
      </c>
      <c r="AE127" s="582"/>
      <c r="AF127" s="504" t="str">
        <f t="shared" si="280"/>
        <v>Portugal</v>
      </c>
      <c r="AG127" s="404">
        <f t="shared" si="281"/>
        <v>1</v>
      </c>
      <c r="AH127" s="405">
        <v>96</v>
      </c>
      <c r="AI127" s="426"/>
      <c r="AJ127" s="387"/>
      <c r="AK127" s="387"/>
      <c r="AL127" s="387"/>
      <c r="AM127" s="378"/>
      <c r="AN127" s="378"/>
      <c r="AO127" s="378"/>
      <c r="AP127" s="378"/>
      <c r="AQ127" s="378"/>
      <c r="AR127" s="378"/>
      <c r="AS127" s="378"/>
      <c r="AT127" s="378"/>
      <c r="AU127" s="522"/>
      <c r="AV127" s="406"/>
      <c r="AW127" s="378"/>
      <c r="AX127" s="378"/>
      <c r="AY127" s="454"/>
      <c r="AZ127" s="455"/>
      <c r="BA127" s="378"/>
    </row>
    <row r="128" spans="1:59" ht="16.149999999999999" customHeight="1" thickBot="1">
      <c r="V128" s="379"/>
      <c r="W128" s="454"/>
      <c r="X128" s="455"/>
      <c r="Y128" s="454"/>
      <c r="Z128" s="456"/>
      <c r="AA128" s="457"/>
      <c r="AB128" s="458"/>
      <c r="AC128" s="459"/>
      <c r="AD128" s="459"/>
      <c r="AE128" s="458"/>
      <c r="AF128" s="460"/>
      <c r="AG128" s="495"/>
      <c r="AH128" s="405"/>
      <c r="AI128" s="426"/>
      <c r="AJ128" s="387"/>
      <c r="AK128" s="387"/>
      <c r="AL128" s="387"/>
      <c r="AM128" s="378"/>
      <c r="AN128" s="378"/>
      <c r="AO128" s="378"/>
      <c r="AP128" s="378"/>
      <c r="AQ128" s="378"/>
      <c r="AR128" s="378"/>
      <c r="AS128" s="378"/>
      <c r="AT128" s="378"/>
      <c r="AU128" s="522"/>
      <c r="AV128" s="406"/>
      <c r="AW128" s="378"/>
      <c r="AX128" s="378"/>
      <c r="AY128" s="454"/>
      <c r="AZ128" s="455"/>
      <c r="BA128" s="378"/>
    </row>
    <row r="129" spans="1:53" ht="16.149999999999999" customHeight="1" thickBot="1">
      <c r="V129" s="379"/>
      <c r="W129" s="491" t="str">
        <f>Idiomas!D29</f>
        <v>Quarterfinals</v>
      </c>
      <c r="X129" s="492"/>
      <c r="Y129" s="493"/>
      <c r="Z129" s="493"/>
      <c r="AA129" s="493"/>
      <c r="AB129" s="493"/>
      <c r="AC129" s="493"/>
      <c r="AD129" s="493"/>
      <c r="AE129" s="493"/>
      <c r="AF129" s="494"/>
      <c r="AG129" s="465"/>
      <c r="AH129" s="406"/>
      <c r="AI129" s="426"/>
      <c r="AJ129" s="387"/>
      <c r="AK129" s="387"/>
      <c r="AL129" s="387"/>
      <c r="AM129" s="378"/>
      <c r="AN129" s="378"/>
      <c r="AO129" s="378"/>
      <c r="AP129" s="378"/>
      <c r="AQ129" s="378"/>
      <c r="AR129" s="378"/>
      <c r="AS129" s="378"/>
      <c r="AT129" s="378"/>
      <c r="AU129" s="522"/>
      <c r="AV129" s="406"/>
      <c r="AW129" s="378"/>
      <c r="AX129" s="378"/>
      <c r="AY129" s="454"/>
      <c r="AZ129" s="455"/>
      <c r="BA129" s="378"/>
    </row>
    <row r="130" spans="1:53" ht="16.149999999999999" customHeight="1">
      <c r="V130" s="379"/>
      <c r="W130" s="388"/>
      <c r="X130" s="389" t="str">
        <f>X3</f>
        <v>Date</v>
      </c>
      <c r="Y130" s="389" t="str">
        <f>Y3</f>
        <v>Hour</v>
      </c>
      <c r="Z130" s="486"/>
      <c r="AA130" s="487" t="str">
        <f>AA3</f>
        <v>Home</v>
      </c>
      <c r="AB130" s="486" t="s">
        <v>143</v>
      </c>
      <c r="AC130" s="389" t="str">
        <f>AC3</f>
        <v>Goals</v>
      </c>
      <c r="AD130" s="389" t="str">
        <f>AD3</f>
        <v>Goals</v>
      </c>
      <c r="AE130" s="486" t="s">
        <v>143</v>
      </c>
      <c r="AF130" s="488" t="str">
        <f>AF3</f>
        <v>Away</v>
      </c>
      <c r="AG130" s="465"/>
      <c r="AH130" s="406"/>
      <c r="AI130" s="426"/>
      <c r="AJ130" s="387"/>
      <c r="AK130" s="387"/>
      <c r="AL130" s="387"/>
      <c r="AM130" s="378"/>
      <c r="AN130" s="378"/>
      <c r="AO130" s="378"/>
      <c r="AP130" s="378"/>
      <c r="AQ130" s="378"/>
      <c r="AR130" s="378"/>
      <c r="AS130" s="378"/>
      <c r="AT130" s="378"/>
      <c r="AU130" s="522"/>
      <c r="AV130" s="406"/>
      <c r="AW130" s="378"/>
      <c r="AX130" s="378"/>
      <c r="AY130" s="454"/>
      <c r="AZ130" s="455"/>
      <c r="BA130" s="378"/>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202</v>
      </c>
      <c r="M131" s="8" t="str">
        <f t="shared" ref="M131:N134" si="282">+INDEX($D$101:$D$147,MATCH(E131,$AH$101:$AH$147,0))</f>
        <v>France</v>
      </c>
      <c r="N131" s="8" t="str">
        <f t="shared" si="282"/>
        <v>Netherlands</v>
      </c>
      <c r="V131" s="379"/>
      <c r="W131" s="610" t="s">
        <v>203</v>
      </c>
      <c r="X131" s="397">
        <f>Horarios!C131</f>
        <v>46212.666666666657</v>
      </c>
      <c r="Y131" s="398">
        <f>Horarios!C131</f>
        <v>46212.666666666657</v>
      </c>
      <c r="Z131" s="525">
        <f>AH131</f>
        <v>97</v>
      </c>
      <c r="AA131" s="503" t="str">
        <f>+INDEX($M$101:$M$147,MATCH(AH131,$J$101:$J$147,0))</f>
        <v>France</v>
      </c>
      <c r="AB131" s="584"/>
      <c r="AC131" s="20">
        <v>4</v>
      </c>
      <c r="AD131" s="20">
        <v>1</v>
      </c>
      <c r="AE131" s="583"/>
      <c r="AF131" s="504" t="str">
        <f>+INDEX($N$101:$N$147,MATCH(AH131,$J$101:$J$147,0))</f>
        <v>Netherlands</v>
      </c>
      <c r="AG131" s="404">
        <f>IF(D131="W"&amp;AH131,0,1)</f>
        <v>1</v>
      </c>
      <c r="AH131" s="405">
        <v>97</v>
      </c>
      <c r="AI131" s="426"/>
      <c r="AJ131" s="387"/>
      <c r="AK131" s="387"/>
      <c r="AL131" s="387"/>
      <c r="AM131" s="378"/>
      <c r="AN131" s="378"/>
      <c r="AO131" s="378"/>
      <c r="AP131" s="378"/>
      <c r="AQ131" s="378"/>
      <c r="AR131" s="378"/>
      <c r="AS131" s="378"/>
      <c r="AT131" s="378"/>
      <c r="AU131" s="522"/>
      <c r="AV131" s="406"/>
      <c r="AW131" s="378"/>
      <c r="AX131" s="378"/>
      <c r="AY131" s="454"/>
      <c r="AZ131" s="455"/>
      <c r="BA131" s="378"/>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206</v>
      </c>
      <c r="M132" s="8" t="str">
        <f t="shared" si="282"/>
        <v>Spain</v>
      </c>
      <c r="N132" s="8" t="str">
        <f t="shared" si="282"/>
        <v>Belgium</v>
      </c>
      <c r="V132" s="379"/>
      <c r="W132" s="611"/>
      <c r="X132" s="397">
        <f>Horarios!C132</f>
        <v>46213.625</v>
      </c>
      <c r="Y132" s="398">
        <f>Horarios!C132</f>
        <v>46213.625</v>
      </c>
      <c r="Z132" s="525">
        <f>AH132</f>
        <v>98</v>
      </c>
      <c r="AA132" s="503" t="str">
        <f>+INDEX($M$101:$M$147,MATCH(AH132,$J$101:$J$147,0))</f>
        <v>Spain</v>
      </c>
      <c r="AB132" s="581"/>
      <c r="AC132" s="22">
        <v>3</v>
      </c>
      <c r="AD132" s="22">
        <v>2</v>
      </c>
      <c r="AE132" s="581"/>
      <c r="AF132" s="504" t="str">
        <f>+INDEX($N$101:$N$147,MATCH(AH132,$J$101:$J$147,0))</f>
        <v>Belgium</v>
      </c>
      <c r="AG132" s="404">
        <f>IF(D132="W"&amp;AH132,0,1)</f>
        <v>1</v>
      </c>
      <c r="AH132" s="405">
        <v>98</v>
      </c>
      <c r="AI132" s="426"/>
      <c r="AJ132" s="387"/>
      <c r="AK132" s="387"/>
      <c r="AL132" s="387"/>
      <c r="AM132" s="378"/>
      <c r="AN132" s="378"/>
      <c r="AO132" s="378"/>
      <c r="AP132" s="378"/>
      <c r="AQ132" s="378"/>
      <c r="AR132" s="378"/>
      <c r="AS132" s="378"/>
      <c r="AT132" s="378"/>
      <c r="AU132" s="522"/>
      <c r="AV132" s="406"/>
      <c r="AW132" s="378"/>
      <c r="AX132" s="378"/>
      <c r="AY132" s="454"/>
      <c r="AZ132" s="455"/>
      <c r="BA132" s="378"/>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England</v>
      </c>
      <c r="E133" s="8">
        <v>91</v>
      </c>
      <c r="F133" s="8">
        <v>92</v>
      </c>
      <c r="J133" s="8">
        <v>99</v>
      </c>
      <c r="K133" s="8">
        <v>46214.75</v>
      </c>
      <c r="L133" s="8" t="s">
        <v>209</v>
      </c>
      <c r="M133" s="8" t="str">
        <f t="shared" si="282"/>
        <v>Norway</v>
      </c>
      <c r="N133" s="8" t="str">
        <f t="shared" si="282"/>
        <v>England</v>
      </c>
      <c r="V133" s="379"/>
      <c r="W133" s="611"/>
      <c r="X133" s="397">
        <f>Horarios!C133</f>
        <v>46214.708333333343</v>
      </c>
      <c r="Y133" s="398">
        <f>Horarios!C133</f>
        <v>46214.708333333343</v>
      </c>
      <c r="Z133" s="525">
        <f>AH133</f>
        <v>99</v>
      </c>
      <c r="AA133" s="503" t="str">
        <f>+INDEX($M$101:$M$147,MATCH(AH133,$J$101:$J$147,0))</f>
        <v>Norway</v>
      </c>
      <c r="AB133" s="581"/>
      <c r="AC133" s="22">
        <v>2</v>
      </c>
      <c r="AD133" s="22">
        <v>4</v>
      </c>
      <c r="AE133" s="581"/>
      <c r="AF133" s="504" t="str">
        <f>+INDEX($N$101:$N$147,MATCH(AH133,$J$101:$J$147,0))</f>
        <v>England</v>
      </c>
      <c r="AG133" s="404">
        <f>IF(D133="W"&amp;AH133,0,1)</f>
        <v>1</v>
      </c>
      <c r="AH133" s="405">
        <v>99</v>
      </c>
      <c r="AI133" s="426"/>
      <c r="AJ133" s="387"/>
      <c r="AK133" s="387"/>
      <c r="AL133" s="387"/>
      <c r="AM133" s="378"/>
      <c r="AN133" s="378"/>
      <c r="AO133" s="378"/>
      <c r="AP133" s="378"/>
      <c r="AQ133" s="378"/>
      <c r="AR133" s="378"/>
      <c r="AS133" s="378"/>
      <c r="AT133" s="378"/>
      <c r="AU133" s="522"/>
      <c r="AV133" s="406"/>
      <c r="AW133" s="378"/>
      <c r="AX133" s="378"/>
      <c r="AY133" s="454"/>
      <c r="AZ133" s="455"/>
      <c r="BA133" s="378"/>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Portugal</v>
      </c>
      <c r="E134" s="8">
        <v>95</v>
      </c>
      <c r="F134" s="8">
        <v>96</v>
      </c>
      <c r="J134" s="8">
        <v>100</v>
      </c>
      <c r="K134" s="8">
        <v>46214.875</v>
      </c>
      <c r="L134" s="8" t="s">
        <v>212</v>
      </c>
      <c r="M134" s="8" t="str">
        <f t="shared" si="282"/>
        <v>Argentina</v>
      </c>
      <c r="N134" s="8" t="str">
        <f t="shared" si="282"/>
        <v>Portugal</v>
      </c>
      <c r="V134" s="379"/>
      <c r="W134" s="612"/>
      <c r="X134" s="439">
        <f>Horarios!C134</f>
        <v>46214.875</v>
      </c>
      <c r="Y134" s="440">
        <f>Horarios!C134</f>
        <v>46214.875</v>
      </c>
      <c r="Z134" s="526">
        <f>AH134</f>
        <v>100</v>
      </c>
      <c r="AA134" s="503" t="str">
        <f>+INDEX($M$101:$M$147,MATCH(AH134,$J$101:$J$147,0))</f>
        <v>Argentina</v>
      </c>
      <c r="AB134" s="582"/>
      <c r="AC134" s="23">
        <v>2</v>
      </c>
      <c r="AD134" s="23">
        <v>3</v>
      </c>
      <c r="AE134" s="582"/>
      <c r="AF134" s="504" t="str">
        <f>+INDEX($N$101:$N$147,MATCH(AH134,$J$101:$J$147,0))</f>
        <v>Portugal</v>
      </c>
      <c r="AG134" s="404">
        <f>IF(D134="W"&amp;AH134,0,1)</f>
        <v>1</v>
      </c>
      <c r="AH134" s="405">
        <v>100</v>
      </c>
      <c r="AI134" s="426"/>
      <c r="AJ134" s="387"/>
      <c r="AK134" s="387"/>
      <c r="AL134" s="387"/>
      <c r="AM134" s="378"/>
      <c r="AN134" s="378"/>
      <c r="AO134" s="378"/>
      <c r="AP134" s="378"/>
      <c r="AQ134" s="378"/>
      <c r="AR134" s="378"/>
      <c r="AS134" s="378"/>
      <c r="AT134" s="378"/>
      <c r="AU134" s="522"/>
      <c r="AV134" s="406"/>
      <c r="AW134" s="378"/>
      <c r="AX134" s="378"/>
      <c r="AY134" s="454"/>
      <c r="AZ134" s="455"/>
      <c r="BA134" s="378"/>
    </row>
    <row r="135" spans="1:53" ht="16.149999999999999" customHeight="1" thickBot="1">
      <c r="V135" s="379"/>
      <c r="W135" s="454"/>
      <c r="X135" s="455"/>
      <c r="Y135" s="454"/>
      <c r="Z135" s="456"/>
      <c r="AA135" s="457"/>
      <c r="AB135" s="458"/>
      <c r="AC135" s="459"/>
      <c r="AD135" s="459"/>
      <c r="AE135" s="458"/>
      <c r="AF135" s="460"/>
      <c r="AG135" s="495"/>
      <c r="AH135" s="527"/>
      <c r="AI135" s="426"/>
      <c r="AJ135" s="387"/>
      <c r="AK135" s="387"/>
      <c r="AL135" s="387"/>
      <c r="AM135" s="378"/>
      <c r="AN135" s="378"/>
      <c r="AO135" s="378"/>
      <c r="AP135" s="378"/>
      <c r="AQ135" s="378"/>
      <c r="AR135" s="378"/>
      <c r="AS135" s="378"/>
      <c r="AT135" s="378"/>
      <c r="AU135" s="522"/>
      <c r="AV135" s="406"/>
      <c r="AW135" s="378"/>
      <c r="AX135" s="378"/>
      <c r="AY135" s="454"/>
      <c r="AZ135" s="455"/>
      <c r="BA135" s="378"/>
    </row>
    <row r="136" spans="1:53" ht="16.149999999999999" customHeight="1" thickBot="1">
      <c r="F136" s="8" t="s">
        <v>213</v>
      </c>
      <c r="V136" s="379"/>
      <c r="W136" s="528" t="str">
        <f>Idiomas!D30</f>
        <v>Semifinals</v>
      </c>
      <c r="X136" s="529"/>
      <c r="Y136" s="530"/>
      <c r="Z136" s="530"/>
      <c r="AA136" s="530"/>
      <c r="AB136" s="530"/>
      <c r="AC136" s="530"/>
      <c r="AD136" s="530"/>
      <c r="AE136" s="530"/>
      <c r="AF136" s="531"/>
      <c r="AG136" s="495"/>
      <c r="AH136" s="527"/>
      <c r="AI136" s="426"/>
      <c r="AJ136" s="387"/>
      <c r="AK136" s="387"/>
      <c r="AL136" s="387"/>
      <c r="AM136" s="378"/>
      <c r="AN136" s="378"/>
      <c r="AO136" s="378"/>
      <c r="AP136" s="378"/>
      <c r="AQ136" s="378"/>
      <c r="AR136" s="378"/>
      <c r="AS136" s="378"/>
      <c r="AT136" s="378"/>
      <c r="AU136" s="522"/>
      <c r="AV136" s="406"/>
      <c r="AW136" s="378"/>
      <c r="AX136" s="378"/>
      <c r="AY136" s="454"/>
      <c r="AZ136" s="455"/>
      <c r="BA136" s="378"/>
    </row>
    <row r="137" spans="1:53" ht="16.149999999999999" customHeight="1">
      <c r="H137" s="8" t="s">
        <v>214</v>
      </c>
      <c r="V137" s="379"/>
      <c r="W137" s="532"/>
      <c r="X137" s="389" t="str">
        <f>X3</f>
        <v>Date</v>
      </c>
      <c r="Y137" s="389" t="str">
        <f>Y3</f>
        <v>Hour</v>
      </c>
      <c r="Z137" s="486"/>
      <c r="AA137" s="487" t="str">
        <f>AA3</f>
        <v>Home</v>
      </c>
      <c r="AB137" s="486" t="s">
        <v>143</v>
      </c>
      <c r="AC137" s="389" t="s">
        <v>215</v>
      </c>
      <c r="AD137" s="389" t="s">
        <v>215</v>
      </c>
      <c r="AE137" s="486" t="s">
        <v>143</v>
      </c>
      <c r="AF137" s="533" t="str">
        <f>AF3</f>
        <v>Away</v>
      </c>
      <c r="AG137" s="495"/>
      <c r="AH137" s="527"/>
      <c r="AI137" s="426"/>
      <c r="AJ137" s="387"/>
      <c r="AK137" s="387"/>
      <c r="AL137" s="387"/>
      <c r="AM137" s="378"/>
      <c r="AN137" s="378"/>
      <c r="AO137" s="378"/>
      <c r="AP137" s="378"/>
      <c r="AQ137" s="378"/>
      <c r="AR137" s="378"/>
      <c r="AS137" s="378"/>
      <c r="AT137" s="378"/>
      <c r="AU137" s="522"/>
      <c r="AV137" s="406"/>
      <c r="AW137" s="378"/>
      <c r="AX137" s="378"/>
      <c r="AY137" s="454"/>
      <c r="AZ137" s="455"/>
      <c r="BA137" s="378"/>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Spain</v>
      </c>
      <c r="E138" s="8">
        <v>97</v>
      </c>
      <c r="F138" s="8">
        <v>98</v>
      </c>
      <c r="H138" s="8" t="str">
        <f>IF(AND(OR(AC138="",AD138="")),"L101",IF(AC138&gt;AD138,AF138,IF(AC138&lt;AD138,AA138,IF(AND(AC138=AD138,AB138=AE138),"L101",IF(AND(AC138=AD138,OR(AB138="",AE138="")),"L101",IF(AND(AC138=AD138,AB138&gt;AE138),AF138,AA138))))))</f>
        <v>France</v>
      </c>
      <c r="J138" s="8">
        <v>101</v>
      </c>
      <c r="K138" s="8">
        <v>46217.875</v>
      </c>
      <c r="L138" s="8" t="s">
        <v>218</v>
      </c>
      <c r="M138" s="8" t="str">
        <f>+INDEX($D$101:$D$147,MATCH(E138,$AH$101:$AH$147,0))</f>
        <v>France</v>
      </c>
      <c r="N138" s="8" t="str">
        <f>+INDEX($D$101:$D$147,MATCH(F138,$AH$101:$AH$147,0))</f>
        <v>Spain</v>
      </c>
      <c r="V138" s="379"/>
      <c r="W138" s="625" t="s">
        <v>219</v>
      </c>
      <c r="X138" s="397">
        <f>Horarios!C138</f>
        <v>46217.625</v>
      </c>
      <c r="Y138" s="398">
        <f>Horarios!C138</f>
        <v>46217.625</v>
      </c>
      <c r="Z138" s="525">
        <f>AH138</f>
        <v>101</v>
      </c>
      <c r="AA138" s="503" t="str">
        <f>+INDEX($M$101:$M$147,MATCH(AH138,$J$101:$J$147,0))</f>
        <v>France</v>
      </c>
      <c r="AB138" s="581"/>
      <c r="AC138" s="24">
        <v>3</v>
      </c>
      <c r="AD138" s="24">
        <v>4</v>
      </c>
      <c r="AE138" s="581"/>
      <c r="AF138" s="504" t="str">
        <f>+INDEX($N$101:$N$147,MATCH(AH138,$J$101:$J$147,0))</f>
        <v>Spain</v>
      </c>
      <c r="AG138" s="404">
        <f>IF(D138="W"&amp;AH138,0,1)</f>
        <v>1</v>
      </c>
      <c r="AH138" s="405">
        <v>101</v>
      </c>
      <c r="AI138" s="426"/>
      <c r="AJ138" s="387"/>
      <c r="AK138" s="387"/>
      <c r="AL138" s="387"/>
      <c r="AM138" s="378"/>
      <c r="AN138" s="378"/>
      <c r="AO138" s="378"/>
      <c r="AP138" s="378"/>
      <c r="AQ138" s="378"/>
      <c r="AR138" s="378"/>
      <c r="AS138" s="378"/>
      <c r="AT138" s="378"/>
      <c r="AU138" s="522"/>
      <c r="AV138" s="406"/>
      <c r="AW138" s="378"/>
      <c r="AX138" s="378"/>
      <c r="AY138" s="454"/>
      <c r="AZ138" s="455"/>
      <c r="BA138" s="378"/>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Portugal</v>
      </c>
      <c r="E139" s="8">
        <v>99</v>
      </c>
      <c r="F139" s="8">
        <v>100</v>
      </c>
      <c r="H139" s="8" t="str">
        <f>IF(AND(OR(AC139="",AD139="")),"L102",IF(AC139&gt;AD139,AF139,IF(AC139&lt;AD139,AA139,IF(AND(AC139=AD139,AB139=AE139),"W102",IF(AND(AC139=AD139,OR(AB139="",AE139="")),"L102",IF(AND(AC139=AD139,AB139&gt;AE139),AF139,AA139))))))</f>
        <v>England</v>
      </c>
      <c r="J139" s="8">
        <v>102</v>
      </c>
      <c r="K139" s="8">
        <v>46218.875</v>
      </c>
      <c r="L139" s="8" t="s">
        <v>222</v>
      </c>
      <c r="M139" s="8" t="str">
        <f>+INDEX($D$101:$D$147,MATCH(E139,$AH$101:$AH$147,0))</f>
        <v>England</v>
      </c>
      <c r="N139" s="8" t="str">
        <f>+INDEX($D$101:$D$147,MATCH(F139,$AH$101:$AH$147,0))</f>
        <v>Portugal</v>
      </c>
      <c r="V139" s="379"/>
      <c r="W139" s="626"/>
      <c r="X139" s="534">
        <f>Horarios!C139</f>
        <v>46218.625</v>
      </c>
      <c r="Y139" s="535">
        <f>Horarios!C139</f>
        <v>46218.625</v>
      </c>
      <c r="Z139" s="536">
        <f>AH139</f>
        <v>102</v>
      </c>
      <c r="AA139" s="503" t="str">
        <f>+INDEX($M$101:$M$147,MATCH(AH139,$J$101:$J$147,0))</f>
        <v>England</v>
      </c>
      <c r="AB139" s="585"/>
      <c r="AC139" s="23">
        <v>2</v>
      </c>
      <c r="AD139" s="23">
        <v>3</v>
      </c>
      <c r="AE139" s="585"/>
      <c r="AF139" s="504" t="str">
        <f>+INDEX($N$101:$N$147,MATCH(AH139,$J$101:$J$147,0))</f>
        <v>Portugal</v>
      </c>
      <c r="AG139" s="404">
        <f>IF(D139="W"&amp;AH139,0,1)</f>
        <v>1</v>
      </c>
      <c r="AH139" s="405">
        <v>102</v>
      </c>
      <c r="AI139" s="426"/>
      <c r="AJ139" s="387"/>
      <c r="AK139" s="387"/>
      <c r="AL139" s="387"/>
      <c r="AM139" s="378"/>
      <c r="AN139" s="378"/>
      <c r="AO139" s="378"/>
      <c r="AP139" s="378"/>
      <c r="AQ139" s="378"/>
      <c r="AR139" s="378"/>
      <c r="AS139" s="378"/>
      <c r="AT139" s="378"/>
      <c r="AU139" s="522"/>
      <c r="AV139" s="406"/>
      <c r="AW139" s="378"/>
      <c r="AX139" s="378"/>
      <c r="AY139" s="454"/>
      <c r="AZ139" s="455"/>
      <c r="BA139" s="378"/>
    </row>
    <row r="140" spans="1:53" ht="16.149999999999999" customHeight="1" thickBot="1">
      <c r="V140" s="379"/>
      <c r="W140" s="454"/>
      <c r="X140" s="455"/>
      <c r="Y140" s="454"/>
      <c r="Z140" s="456"/>
      <c r="AA140" s="457"/>
      <c r="AB140" s="458"/>
      <c r="AC140" s="459"/>
      <c r="AD140" s="459"/>
      <c r="AE140" s="458"/>
      <c r="AF140" s="460"/>
      <c r="AG140" s="495"/>
      <c r="AH140" s="527"/>
      <c r="AI140" s="426"/>
      <c r="AJ140" s="387"/>
      <c r="AK140" s="387"/>
      <c r="AL140" s="387"/>
      <c r="AM140" s="378"/>
      <c r="AN140" s="378"/>
      <c r="AO140" s="378"/>
      <c r="AP140" s="378"/>
      <c r="AQ140" s="378"/>
      <c r="AR140" s="378"/>
      <c r="AS140" s="378"/>
      <c r="AT140" s="378"/>
      <c r="AU140" s="522"/>
      <c r="AV140" s="406"/>
      <c r="AW140" s="378"/>
      <c r="AX140" s="378"/>
      <c r="AY140" s="454"/>
      <c r="AZ140" s="455"/>
      <c r="BA140" s="378"/>
    </row>
    <row r="141" spans="1:53" ht="16.149999999999999" customHeight="1" thickBot="1">
      <c r="V141" s="379"/>
      <c r="W141" s="528" t="str">
        <f>Idiomas!D31</f>
        <v>3rd-4th place</v>
      </c>
      <c r="X141" s="529"/>
      <c r="Y141" s="530"/>
      <c r="Z141" s="530"/>
      <c r="AA141" s="530"/>
      <c r="AB141" s="530"/>
      <c r="AC141" s="530"/>
      <c r="AD141" s="530"/>
      <c r="AE141" s="530"/>
      <c r="AF141" s="531"/>
      <c r="AG141" s="495"/>
      <c r="AH141" s="527"/>
      <c r="AI141" s="426"/>
      <c r="AJ141" s="387"/>
      <c r="AK141" s="387"/>
      <c r="AL141" s="387"/>
      <c r="AM141" s="378"/>
      <c r="AN141" s="378"/>
      <c r="AO141" s="378"/>
      <c r="AP141" s="378"/>
      <c r="AQ141" s="378"/>
      <c r="AR141" s="378"/>
      <c r="AS141" s="378"/>
      <c r="AT141" s="378"/>
      <c r="AU141" s="522"/>
      <c r="AV141" s="406"/>
      <c r="AW141" s="378"/>
      <c r="AX141" s="378"/>
      <c r="AY141" s="454"/>
      <c r="AZ141" s="455"/>
      <c r="BA141" s="378"/>
    </row>
    <row r="142" spans="1:53" ht="16.149999999999999" customHeight="1">
      <c r="V142" s="379"/>
      <c r="W142" s="537"/>
      <c r="X142" s="389" t="str">
        <f>X3</f>
        <v>Date</v>
      </c>
      <c r="Y142" s="389" t="str">
        <f>Y3</f>
        <v>Hour</v>
      </c>
      <c r="Z142" s="486"/>
      <c r="AA142" s="487" t="str">
        <f>AA3</f>
        <v>Home</v>
      </c>
      <c r="AB142" s="486" t="s">
        <v>143</v>
      </c>
      <c r="AC142" s="389" t="s">
        <v>215</v>
      </c>
      <c r="AD142" s="389" t="s">
        <v>215</v>
      </c>
      <c r="AE142" s="486" t="s">
        <v>143</v>
      </c>
      <c r="AF142" s="533" t="str">
        <f>AF3</f>
        <v>Away</v>
      </c>
      <c r="AG142" s="495"/>
      <c r="AH142" s="527"/>
      <c r="AI142" s="426"/>
      <c r="AJ142" s="387"/>
      <c r="AK142" s="387"/>
      <c r="AL142" s="387"/>
      <c r="AM142" s="378"/>
      <c r="AN142" s="378"/>
      <c r="AO142" s="378"/>
      <c r="AP142" s="378"/>
      <c r="AQ142" s="378"/>
      <c r="AR142" s="378"/>
      <c r="AS142" s="378"/>
      <c r="AT142" s="378"/>
      <c r="AU142" s="522"/>
      <c r="AV142" s="406"/>
      <c r="AW142" s="378"/>
      <c r="AX142" s="378"/>
      <c r="AY142" s="454"/>
      <c r="AZ142" s="455"/>
      <c r="BA142" s="378"/>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England</v>
      </c>
      <c r="E143" s="8">
        <v>101</v>
      </c>
      <c r="F143" s="8">
        <v>102</v>
      </c>
      <c r="J143" s="8">
        <v>103</v>
      </c>
      <c r="K143" s="8">
        <v>46221.875</v>
      </c>
      <c r="L143" s="8" t="s">
        <v>225</v>
      </c>
      <c r="M143" s="8" t="str">
        <f>+INDEX($D$101:$D$147,MATCH(E143,$AH$101:$AH$147,0))</f>
        <v>Spain</v>
      </c>
      <c r="N143" s="8" t="str">
        <f>+INDEX($D$101:$D$147,MATCH(F143,$AH$101:$AH$147,0))</f>
        <v>Portugal</v>
      </c>
      <c r="V143" s="379"/>
      <c r="W143" s="538" t="s">
        <v>226</v>
      </c>
      <c r="X143" s="534">
        <f>Horarios!C143</f>
        <v>46221.708333333343</v>
      </c>
      <c r="Y143" s="535">
        <f>Horarios!C143</f>
        <v>46221.708333333343</v>
      </c>
      <c r="Z143" s="539">
        <f>AH143</f>
        <v>103</v>
      </c>
      <c r="AA143" s="503" t="str">
        <f>IF(AND(OR(AC138="",AD138="")),"L101",IF(AC138&gt;AD138,AF138,IF(AC138&lt;AD138,AA138,IF(AND(AC138=AD138,AB138=AE138),"L101",IF(AND(AC138=AD138,OR(AB138="",AE138="")),"L101",IF(AND(AC138=AD138,AB138&gt;AE138),AF138,AA138))))))</f>
        <v>France</v>
      </c>
      <c r="AB143" s="33"/>
      <c r="AC143" s="25">
        <v>3</v>
      </c>
      <c r="AD143" s="25">
        <v>5</v>
      </c>
      <c r="AE143" s="33"/>
      <c r="AF143" s="504" t="str">
        <f>IF(AND(OR(AC139="",AD139="")),"L102",IF(AC139&gt;AD139,AF139,IF(AC139&lt;AD139,AA139,IF(AND(AC139=AD139,AB139=AE139),"L102",IF(AND(AC139=AD139,OR(AB139="",AE139="")),"L102",IF(AND(AC139=AD139,AB139&gt;AE139),AF139,AA139))))))</f>
        <v>England</v>
      </c>
      <c r="AG143" s="404">
        <f>IF(D143="W"&amp;AH143,0,1)</f>
        <v>1</v>
      </c>
      <c r="AH143" s="405">
        <v>103</v>
      </c>
      <c r="AI143" s="426"/>
      <c r="AJ143" s="387"/>
      <c r="AK143" s="387"/>
      <c r="AL143" s="387"/>
      <c r="AM143" s="378"/>
      <c r="AN143" s="378"/>
      <c r="AO143" s="378"/>
      <c r="AP143" s="378"/>
      <c r="AQ143" s="378"/>
      <c r="AR143" s="378"/>
      <c r="AS143" s="378"/>
      <c r="AT143" s="378"/>
      <c r="AU143" s="522"/>
      <c r="AV143" s="406"/>
      <c r="AW143" s="378"/>
      <c r="AX143" s="378"/>
      <c r="AY143" s="454"/>
      <c r="AZ143" s="455"/>
      <c r="BA143" s="378"/>
    </row>
    <row r="144" spans="1:53" ht="16.149999999999999" customHeight="1" thickBot="1">
      <c r="V144" s="379"/>
      <c r="W144" s="454"/>
      <c r="X144" s="455"/>
      <c r="Y144" s="454"/>
      <c r="Z144" s="456"/>
      <c r="AA144" s="457"/>
      <c r="AB144" s="458"/>
      <c r="AC144" s="459"/>
      <c r="AD144" s="459"/>
      <c r="AE144" s="458"/>
      <c r="AF144" s="460"/>
      <c r="AG144" s="495"/>
      <c r="AH144" s="405"/>
      <c r="AI144" s="426"/>
      <c r="AJ144" s="387"/>
      <c r="AK144" s="387"/>
      <c r="AL144" s="387"/>
      <c r="AM144" s="378"/>
      <c r="AN144" s="378"/>
      <c r="AO144" s="378"/>
      <c r="AP144" s="378"/>
      <c r="AQ144" s="378"/>
      <c r="AR144" s="378"/>
      <c r="AS144" s="378"/>
      <c r="AT144" s="378"/>
      <c r="AU144" s="522"/>
      <c r="AV144" s="406"/>
      <c r="AW144" s="378"/>
      <c r="AX144" s="378"/>
      <c r="AY144" s="454"/>
      <c r="AZ144" s="455"/>
      <c r="BA144" s="378"/>
    </row>
    <row r="145" spans="1:53" ht="16.149999999999999" customHeight="1" thickBot="1">
      <c r="V145" s="379"/>
      <c r="W145" s="528" t="str">
        <f>Idiomas!D32</f>
        <v>Final</v>
      </c>
      <c r="X145" s="529"/>
      <c r="Y145" s="530"/>
      <c r="Z145" s="530"/>
      <c r="AA145" s="540"/>
      <c r="AB145" s="530"/>
      <c r="AC145" s="530"/>
      <c r="AD145" s="530"/>
      <c r="AE145" s="530"/>
      <c r="AF145" s="531"/>
      <c r="AG145" s="495"/>
      <c r="AH145" s="405"/>
      <c r="AI145" s="426"/>
      <c r="AJ145" s="387"/>
      <c r="AK145" s="387"/>
      <c r="AL145" s="387"/>
      <c r="AM145" s="378"/>
      <c r="AN145" s="378"/>
      <c r="AO145" s="378"/>
      <c r="AP145" s="378"/>
      <c r="AQ145" s="378"/>
      <c r="AR145" s="378"/>
      <c r="AS145" s="378"/>
      <c r="AT145" s="378"/>
      <c r="AU145" s="522"/>
      <c r="AV145" s="406"/>
      <c r="AW145" s="378"/>
      <c r="AX145" s="378"/>
      <c r="AY145" s="454"/>
      <c r="AZ145" s="455"/>
      <c r="BA145" s="378"/>
    </row>
    <row r="146" spans="1:53" ht="16.149999999999999" customHeight="1">
      <c r="V146" s="379"/>
      <c r="W146" s="532"/>
      <c r="X146" s="389" t="str">
        <f>X3</f>
        <v>Date</v>
      </c>
      <c r="Y146" s="389" t="str">
        <f>Y3</f>
        <v>Hour</v>
      </c>
      <c r="Z146" s="486"/>
      <c r="AA146" s="487" t="str">
        <f>AA3</f>
        <v>Home</v>
      </c>
      <c r="AB146" s="486" t="s">
        <v>143</v>
      </c>
      <c r="AC146" s="389" t="s">
        <v>215</v>
      </c>
      <c r="AD146" s="389" t="s">
        <v>215</v>
      </c>
      <c r="AE146" s="486" t="s">
        <v>143</v>
      </c>
      <c r="AF146" s="533" t="str">
        <f>AF3</f>
        <v>Away</v>
      </c>
      <c r="AG146" s="495"/>
      <c r="AH146" s="405"/>
      <c r="AI146" s="382"/>
      <c r="AJ146" s="380"/>
      <c r="AK146" s="380"/>
      <c r="AL146" s="387"/>
      <c r="AM146" s="378"/>
      <c r="AN146" s="378"/>
      <c r="AO146" s="378"/>
      <c r="AP146" s="378"/>
      <c r="AQ146" s="378"/>
      <c r="AR146" s="378"/>
      <c r="AS146" s="378"/>
      <c r="AT146" s="378"/>
      <c r="AU146" s="522"/>
      <c r="AV146" s="406"/>
      <c r="AW146" s="378"/>
      <c r="AX146" s="378"/>
      <c r="AY146" s="454"/>
      <c r="AZ146" s="455"/>
      <c r="BA146" s="378"/>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Portugal</v>
      </c>
      <c r="E147" s="8">
        <v>101</v>
      </c>
      <c r="F147" s="8">
        <v>102</v>
      </c>
      <c r="H147" s="8" t="str">
        <f>IF(AND(OR(AC147="",AD147="")),"LF",IF(AC147&gt;AD147,AF147,IF(AC147&lt;AD147,AA147,IF(AND(AC147=AD147,AB147=AE147),"LF",IF(AND(AC147=AD147,OR(AB147="",AE147="")),"LF",IF(AND(AC147=AD147,AB147&gt;AE147),AF147,AA147))))))</f>
        <v>Spain</v>
      </c>
      <c r="J147" s="8">
        <v>104</v>
      </c>
      <c r="K147" s="8">
        <v>46222.875</v>
      </c>
      <c r="L147" s="8" t="s">
        <v>229</v>
      </c>
      <c r="M147" s="8" t="str">
        <f>+INDEX($D$101:$D$147,MATCH(E147,$AH$101:$AH$147,0))</f>
        <v>Spain</v>
      </c>
      <c r="N147" s="8" t="str">
        <f>+INDEX($D$101:$D$147,MATCH(F147,$AH$101:$AH$147,0))</f>
        <v>Portugal</v>
      </c>
      <c r="V147" s="379"/>
      <c r="W147" s="541" t="s">
        <v>116</v>
      </c>
      <c r="X147" s="534">
        <f>Horarios!C147</f>
        <v>46222.625</v>
      </c>
      <c r="Y147" s="535">
        <f>Horarios!C147</f>
        <v>46222.625</v>
      </c>
      <c r="Z147" s="539">
        <f>AH147</f>
        <v>104</v>
      </c>
      <c r="AA147" s="503" t="str">
        <f>IF(AND(OR(AC138="",AD138="")),"W"&amp;AH138,IF(AC138&gt;AD138,AA138,IF(AC138&lt;AD138,AF138,IF(AND(AC138=AD138,AB138=AE138),"W"&amp;AH138,IF(AND(AC138=AD138,OR(AB138="",AE138="")),"W"&amp;AH138,IF(AND(AC138=AD138,AB138&gt;AE138),AA138,AF138))))))</f>
        <v>Spain</v>
      </c>
      <c r="AB147" s="33"/>
      <c r="AC147" s="25">
        <v>2</v>
      </c>
      <c r="AD147" s="25">
        <v>3</v>
      </c>
      <c r="AE147" s="33"/>
      <c r="AF147" s="504" t="str">
        <f>IF(AND(OR(AC139="",AD139="")),"W"&amp;AH139,IF(AC139&gt;AD139,AA139,IF(AC139&lt;AD139,AF139,IF(AND(AC139=AD139,AB139=AE139),"W"&amp;AH139,IF(AND(AC139=AD139,OR(AB139="",AE139="")),"W"&amp;AH139,IF(AND(AC139=AD139,AB139&gt;AE139),AA139,AF139))))))</f>
        <v>Portugal</v>
      </c>
      <c r="AG147" s="404">
        <f>IF(D147="W"&amp;AH147,0,1)</f>
        <v>1</v>
      </c>
      <c r="AH147" s="405">
        <v>104</v>
      </c>
      <c r="AI147" s="382"/>
      <c r="AJ147" s="380"/>
      <c r="AK147" s="380"/>
      <c r="AL147" s="387"/>
      <c r="AM147" s="380"/>
      <c r="AN147" s="380"/>
      <c r="AO147" s="380"/>
      <c r="AP147" s="380"/>
      <c r="AQ147" s="380"/>
      <c r="AR147" s="380"/>
      <c r="AS147" s="380"/>
      <c r="AT147" s="380"/>
      <c r="AU147" s="384"/>
      <c r="AV147" s="384"/>
      <c r="AW147" s="387"/>
      <c r="AX147" s="387"/>
      <c r="AY147" s="454"/>
      <c r="AZ147" s="455"/>
      <c r="BA147" s="378"/>
    </row>
    <row r="148" spans="1:53" ht="16.149999999999999" customHeight="1" thickBot="1">
      <c r="V148" s="379"/>
      <c r="W148" s="454"/>
      <c r="X148" s="455"/>
      <c r="Y148" s="454"/>
      <c r="Z148" s="456"/>
      <c r="AA148" s="457"/>
      <c r="AB148" s="458"/>
      <c r="AC148" s="459"/>
      <c r="AD148" s="459"/>
      <c r="AE148" s="458"/>
      <c r="AF148" s="460"/>
      <c r="AG148" s="495"/>
      <c r="AH148" s="464"/>
      <c r="AI148" s="464"/>
      <c r="AJ148" s="378"/>
      <c r="AK148" s="378"/>
      <c r="AL148" s="542" t="str">
        <f>Idiomas!D47</f>
        <v>MISSING ENTRIES!</v>
      </c>
      <c r="AM148" s="543" t="str">
        <f>Idiomas!D48</f>
        <v>You may have left over some match-ups without prediction or you may have not entered your Bracket's name</v>
      </c>
      <c r="AN148" s="378"/>
      <c r="AO148" s="378"/>
      <c r="AP148" s="378"/>
      <c r="AQ148" s="378"/>
      <c r="AR148" s="378"/>
      <c r="AS148" s="378"/>
      <c r="AT148" s="378"/>
      <c r="AU148" s="522"/>
      <c r="AV148" s="406"/>
      <c r="AW148" s="378"/>
      <c r="AX148" s="378"/>
      <c r="AY148" s="454"/>
      <c r="AZ148" s="455"/>
      <c r="BA148" s="378"/>
    </row>
    <row r="149" spans="1:53" ht="16.149999999999999" customHeight="1" thickBot="1">
      <c r="V149" s="379"/>
      <c r="W149" s="544"/>
      <c r="X149" s="545"/>
      <c r="Y149" s="546"/>
      <c r="Z149" s="546"/>
      <c r="AA149" s="547" t="str">
        <f>Idiomas!D33</f>
        <v>Winner's circle</v>
      </c>
      <c r="AB149" s="546"/>
      <c r="AC149" s="545"/>
      <c r="AD149" s="545"/>
      <c r="AE149" s="546"/>
      <c r="AF149" s="548"/>
      <c r="AG149" s="549"/>
      <c r="AH149" s="550"/>
      <c r="AI149" s="464"/>
      <c r="AJ149" s="378"/>
      <c r="AK149" s="378"/>
      <c r="AL149" s="542" t="str">
        <f>Idiomas!D49</f>
        <v>BRACKET ENTRIES COMPLETE!</v>
      </c>
      <c r="AM149" s="543" t="str">
        <f>Idiomas!D50</f>
        <v>Save and e-mail spreadsheet</v>
      </c>
      <c r="AN149" s="378"/>
      <c r="AO149" s="378"/>
      <c r="AP149" s="378"/>
      <c r="AQ149" s="378"/>
      <c r="AR149" s="378"/>
      <c r="AS149" s="378"/>
      <c r="AT149" s="378"/>
      <c r="AU149" s="522"/>
      <c r="AV149" s="406"/>
      <c r="AW149" s="378"/>
      <c r="AX149" s="378"/>
      <c r="AY149" s="454"/>
      <c r="AZ149" s="455"/>
      <c r="BA149" s="378"/>
    </row>
    <row r="150" spans="1:53" ht="16.149999999999999" customHeight="1" thickBot="1">
      <c r="V150" s="379"/>
      <c r="W150" s="551" t="str">
        <f>"🥇"&amp;Idiomas!D34</f>
        <v>🥇Winner</v>
      </c>
      <c r="X150" s="552"/>
      <c r="Y150" s="553"/>
      <c r="Z150" s="553"/>
      <c r="AA150" s="554" t="str">
        <f>IF(AND(OR(AC147="",AD147="")),"WF",IF(AC147&gt;AD147,AA147,IF(AC147&lt;AD147,AF147,IF(AND(AC147=AD147,AB147=AE147),"WF",IF(AND(AC147=AD147,OR(AB147="",AE147="")),"WF",IF(AND(AC147=AD147,AB147&gt;AE147),AA147,AF147))))))</f>
        <v>Portugal</v>
      </c>
      <c r="AB150" s="555"/>
      <c r="AC150" s="555"/>
      <c r="AD150" s="555"/>
      <c r="AE150" s="555"/>
      <c r="AF150" s="556"/>
      <c r="AG150" s="404">
        <f>IF(AA150="WF",0,1)</f>
        <v>1</v>
      </c>
      <c r="AH150" s="550"/>
      <c r="AI150" s="550"/>
      <c r="AJ150" s="380"/>
      <c r="AK150" s="380"/>
      <c r="AL150" s="380"/>
      <c r="AM150" s="380"/>
      <c r="AN150" s="380"/>
      <c r="AO150" s="380"/>
      <c r="AP150" s="380"/>
      <c r="AQ150" s="380"/>
      <c r="AR150" s="380"/>
      <c r="AS150" s="380"/>
      <c r="AT150" s="380"/>
      <c r="AU150" s="377"/>
      <c r="AV150" s="550"/>
      <c r="AW150" s="380"/>
      <c r="AX150" s="380"/>
      <c r="AY150" s="454"/>
      <c r="AZ150" s="455"/>
      <c r="BA150" s="378"/>
    </row>
    <row r="151" spans="1:53" ht="16.149999999999999" customHeight="1">
      <c r="V151" s="379"/>
      <c r="W151" s="551" t="str">
        <f>"🥈"&amp;Idiomas!D35</f>
        <v>🥈Runner-up</v>
      </c>
      <c r="X151" s="552"/>
      <c r="Y151" s="553"/>
      <c r="Z151" s="553"/>
      <c r="AA151" s="557" t="str">
        <f>IF(AND(OR(AC147="",AD147="")),"LF",IF(AC147&gt;AD147,AF147,IF(AC147&lt;AD147,AA147,IF(AND(AC147=AD147,AB147=AE147),"LF",IF(AND(AC147=AD147,OR(AB147="",AE147="")),"LF",IF(AND(AC147=AD147,AB147&gt;AE147),AF147,AA147))))))</f>
        <v>Spain</v>
      </c>
      <c r="AB151" s="558"/>
      <c r="AC151" s="558"/>
      <c r="AD151" s="558"/>
      <c r="AE151" s="558"/>
      <c r="AF151" s="559"/>
      <c r="AG151" s="404">
        <f>IF(AA151="LF",0,1)</f>
        <v>1</v>
      </c>
      <c r="AH151" s="550"/>
      <c r="AI151" s="550"/>
      <c r="AJ151" s="632" t="str">
        <f>IF(SUM(COUNTIF(AG4:AG97,0),COUNTIF(AG101:AG153,0)&gt;0),AL148,AL149)</f>
        <v>BRACKET ENTRIES COMPLETE!</v>
      </c>
      <c r="AK151" s="633"/>
      <c r="AL151" s="633"/>
      <c r="AM151" s="633"/>
      <c r="AN151" s="633"/>
      <c r="AO151" s="633"/>
      <c r="AP151" s="633"/>
      <c r="AQ151" s="633"/>
      <c r="AR151" s="633"/>
      <c r="AS151" s="633"/>
      <c r="AT151" s="633"/>
      <c r="AU151" s="634"/>
      <c r="AV151" s="560"/>
      <c r="AW151" s="455"/>
      <c r="AX151" s="454"/>
      <c r="AY151" s="456"/>
      <c r="AZ151" s="457"/>
      <c r="BA151" s="378"/>
    </row>
    <row r="152" spans="1:53" ht="16.149999999999999" customHeight="1" thickBot="1">
      <c r="V152" s="379"/>
      <c r="W152" s="561" t="str">
        <f>"🥉"&amp;Idiomas!D36</f>
        <v>🥉3rd place</v>
      </c>
      <c r="X152" s="562"/>
      <c r="Y152" s="563"/>
      <c r="Z152" s="563"/>
      <c r="AA152" s="564" t="str">
        <f>IF(AND(OR(AC143="",AD143="")),"W34",IF(AC143&gt;AD143,AA143,IF(AC143&lt;AD143,AF143,IF(AND(AC143=AD143,AB143=AE143),"W34",IF(AND(AC143=AD143,OR(AB143="",AE143="")),"W34",IF(AND(AC143=AD143,AB143&gt;AE143),AA143,AF143))))))</f>
        <v>England</v>
      </c>
      <c r="AB152" s="565"/>
      <c r="AC152" s="565"/>
      <c r="AD152" s="565"/>
      <c r="AE152" s="565"/>
      <c r="AF152" s="566"/>
      <c r="AG152" s="404">
        <f>IF(AA152="W34",0,1)</f>
        <v>1</v>
      </c>
      <c r="AH152" s="550"/>
      <c r="AI152" s="550"/>
      <c r="AJ152" s="602"/>
      <c r="AK152" s="600"/>
      <c r="AL152" s="600"/>
      <c r="AM152" s="600"/>
      <c r="AN152" s="600"/>
      <c r="AO152" s="600"/>
      <c r="AP152" s="600"/>
      <c r="AQ152" s="600"/>
      <c r="AR152" s="600"/>
      <c r="AS152" s="600"/>
      <c r="AT152" s="600"/>
      <c r="AU152" s="601"/>
      <c r="AV152" s="560"/>
      <c r="AW152" s="455"/>
      <c r="AX152" s="454"/>
      <c r="AY152" s="456"/>
      <c r="AZ152" s="457"/>
      <c r="BA152" s="378"/>
    </row>
    <row r="153" spans="1:53" ht="16.149999999999999" customHeight="1">
      <c r="V153" s="379"/>
      <c r="W153" s="454"/>
      <c r="X153" s="454"/>
      <c r="Y153" s="454"/>
      <c r="Z153" s="454"/>
      <c r="AA153" s="454"/>
      <c r="AB153" s="454"/>
      <c r="AC153" s="454"/>
      <c r="AD153" s="454"/>
      <c r="AE153" s="454"/>
      <c r="AF153" s="454"/>
      <c r="AG153" s="484">
        <f>IF(AM1&lt;&gt;"",1,0)</f>
        <v>1</v>
      </c>
      <c r="AH153" s="550"/>
      <c r="AI153" s="550"/>
      <c r="AJ153" s="602"/>
      <c r="AK153" s="600"/>
      <c r="AL153" s="600"/>
      <c r="AM153" s="600"/>
      <c r="AN153" s="600"/>
      <c r="AO153" s="600"/>
      <c r="AP153" s="600"/>
      <c r="AQ153" s="600"/>
      <c r="AR153" s="600"/>
      <c r="AS153" s="600"/>
      <c r="AT153" s="600"/>
      <c r="AU153" s="601"/>
      <c r="AV153" s="560"/>
      <c r="AW153" s="455"/>
      <c r="AX153" s="454"/>
      <c r="AY153" s="456"/>
      <c r="AZ153" s="457"/>
      <c r="BA153" s="378"/>
    </row>
    <row r="154" spans="1:53" ht="16.149999999999999" customHeight="1">
      <c r="V154" s="379"/>
      <c r="W154" s="454"/>
      <c r="X154" s="454"/>
      <c r="Y154" s="454"/>
      <c r="Z154" s="454"/>
      <c r="AA154" s="454"/>
      <c r="AB154" s="454"/>
      <c r="AC154" s="454"/>
      <c r="AD154" s="454"/>
      <c r="AE154" s="454"/>
      <c r="AF154" s="454"/>
      <c r="AG154" s="404"/>
      <c r="AH154" s="567" t="str">
        <f>Idiomas!D43</f>
        <v>Write a player</v>
      </c>
      <c r="AI154" s="550"/>
      <c r="AJ154" s="602"/>
      <c r="AK154" s="600"/>
      <c r="AL154" s="600"/>
      <c r="AM154" s="600"/>
      <c r="AN154" s="600"/>
      <c r="AO154" s="600"/>
      <c r="AP154" s="600"/>
      <c r="AQ154" s="600"/>
      <c r="AR154" s="600"/>
      <c r="AS154" s="600"/>
      <c r="AT154" s="600"/>
      <c r="AU154" s="601"/>
      <c r="AV154" s="560"/>
      <c r="AW154" s="455"/>
      <c r="AX154" s="454"/>
      <c r="AY154" s="456"/>
      <c r="AZ154" s="457"/>
      <c r="BA154" s="378"/>
    </row>
    <row r="155" spans="1:53" ht="16.149999999999999" customHeight="1" thickBot="1">
      <c r="V155" s="379"/>
      <c r="W155" s="454"/>
      <c r="X155" s="454"/>
      <c r="Y155" s="454"/>
      <c r="Z155" s="454"/>
      <c r="AA155" s="454"/>
      <c r="AB155" s="454"/>
      <c r="AC155" s="454"/>
      <c r="AD155" s="454"/>
      <c r="AE155" s="454"/>
      <c r="AF155" s="454"/>
      <c r="AG155" s="404"/>
      <c r="AH155" s="550"/>
      <c r="AI155" s="550"/>
      <c r="AJ155" s="599" t="str">
        <f>IF(SUM(COUNTIF(AG4:AG97,0),COUNTIF(AG101:AG153,0)&gt;0),AM148,AM149)</f>
        <v>Save and e-mail spreadsheet</v>
      </c>
      <c r="AK155" s="600"/>
      <c r="AL155" s="600"/>
      <c r="AM155" s="600"/>
      <c r="AN155" s="600"/>
      <c r="AO155" s="600"/>
      <c r="AP155" s="600"/>
      <c r="AQ155" s="600"/>
      <c r="AR155" s="600"/>
      <c r="AS155" s="600"/>
      <c r="AT155" s="600"/>
      <c r="AU155" s="601"/>
      <c r="AV155" s="560"/>
      <c r="AW155" s="455"/>
      <c r="AX155" s="454"/>
      <c r="AY155" s="456"/>
      <c r="AZ155" s="457"/>
      <c r="BA155" s="378"/>
    </row>
    <row r="156" spans="1:53" ht="16.149999999999999" customHeight="1">
      <c r="V156" s="379"/>
      <c r="W156" s="454"/>
      <c r="X156" s="454"/>
      <c r="Y156" s="454"/>
      <c r="Z156" s="454"/>
      <c r="AA156" s="454"/>
      <c r="AB156" s="454"/>
      <c r="AC156" s="454"/>
      <c r="AD156" s="454"/>
      <c r="AE156" s="454"/>
      <c r="AF156" s="454"/>
      <c r="AG156" s="404"/>
      <c r="AH156" s="550"/>
      <c r="AI156" s="550"/>
      <c r="AJ156" s="602"/>
      <c r="AK156" s="600"/>
      <c r="AL156" s="600"/>
      <c r="AM156" s="600"/>
      <c r="AN156" s="600"/>
      <c r="AO156" s="600"/>
      <c r="AP156" s="600"/>
      <c r="AQ156" s="600"/>
      <c r="AR156" s="600"/>
      <c r="AS156" s="600"/>
      <c r="AT156" s="600"/>
      <c r="AU156" s="601"/>
      <c r="AV156" s="560"/>
      <c r="AW156" s="455"/>
      <c r="AX156" s="454"/>
      <c r="AY156" s="456"/>
      <c r="AZ156" s="457"/>
      <c r="BA156" s="378"/>
    </row>
    <row r="157" spans="1:53" ht="16.149999999999999" customHeight="1" thickBot="1">
      <c r="V157" s="379"/>
      <c r="W157" s="454"/>
      <c r="X157" s="454"/>
      <c r="Y157" s="454"/>
      <c r="Z157" s="454"/>
      <c r="AA157" s="454"/>
      <c r="AB157" s="454"/>
      <c r="AC157" s="454"/>
      <c r="AD157" s="454"/>
      <c r="AE157" s="454"/>
      <c r="AF157" s="454"/>
      <c r="AG157" s="484"/>
      <c r="AH157" s="550"/>
      <c r="AI157" s="550"/>
      <c r="AJ157" s="603"/>
      <c r="AK157" s="604"/>
      <c r="AL157" s="604"/>
      <c r="AM157" s="604"/>
      <c r="AN157" s="604"/>
      <c r="AO157" s="604"/>
      <c r="AP157" s="604"/>
      <c r="AQ157" s="604"/>
      <c r="AR157" s="604"/>
      <c r="AS157" s="604"/>
      <c r="AT157" s="604"/>
      <c r="AU157" s="605"/>
      <c r="AV157" s="560"/>
      <c r="AW157" s="455"/>
      <c r="AX157" s="454"/>
      <c r="AY157" s="456"/>
      <c r="AZ157" s="457"/>
      <c r="BA157" s="378"/>
    </row>
    <row r="158" spans="1:53" ht="16.149999999999999" customHeight="1">
      <c r="V158" s="379"/>
      <c r="W158" s="454"/>
      <c r="X158" s="454"/>
      <c r="Y158" s="454"/>
      <c r="Z158" s="454"/>
      <c r="AA158" s="454"/>
      <c r="AB158" s="454"/>
      <c r="AC158" s="454"/>
      <c r="AD158" s="454"/>
      <c r="AE158" s="454"/>
      <c r="AF158" s="454"/>
      <c r="AG158" s="404"/>
      <c r="AH158" s="406"/>
      <c r="AI158" s="550"/>
      <c r="AJ158" s="380"/>
      <c r="AK158" s="380"/>
      <c r="AL158" s="380"/>
      <c r="AM158" s="380"/>
      <c r="AN158" s="380"/>
      <c r="AO158" s="380"/>
      <c r="AP158" s="380"/>
      <c r="AQ158" s="380"/>
      <c r="AR158" s="380"/>
      <c r="AS158" s="380"/>
      <c r="AT158" s="380"/>
      <c r="AU158" s="377"/>
      <c r="AV158" s="560"/>
      <c r="AW158" s="455"/>
      <c r="AX158" s="454"/>
      <c r="AY158" s="456"/>
      <c r="AZ158" s="457"/>
      <c r="BA158" s="378"/>
    </row>
    <row r="159" spans="1:53" ht="16.149999999999999" customHeight="1">
      <c r="V159" s="379"/>
      <c r="W159" s="454"/>
      <c r="X159" s="454"/>
      <c r="Y159" s="454"/>
      <c r="Z159" s="454"/>
      <c r="AA159" s="454"/>
      <c r="AB159" s="454"/>
      <c r="AC159" s="454"/>
      <c r="AD159" s="454"/>
      <c r="AE159" s="454"/>
      <c r="AF159" s="454"/>
      <c r="AG159" s="404"/>
      <c r="AH159" s="550"/>
      <c r="AI159" s="568"/>
      <c r="AJ159" s="380"/>
      <c r="AK159" s="380"/>
      <c r="AL159" s="380"/>
      <c r="AM159" s="380"/>
      <c r="AN159" s="380"/>
      <c r="AO159" s="380"/>
      <c r="AP159" s="380"/>
      <c r="AQ159" s="380"/>
      <c r="AR159" s="380"/>
      <c r="AS159" s="380"/>
      <c r="AT159" s="380"/>
      <c r="AU159" s="377"/>
      <c r="AV159" s="560"/>
      <c r="AW159" s="455"/>
      <c r="AX159" s="454"/>
      <c r="AY159" s="456"/>
      <c r="AZ159" s="457"/>
      <c r="BA159" s="378"/>
    </row>
    <row r="160" spans="1:53" ht="16.149999999999999" customHeight="1">
      <c r="V160" s="379"/>
      <c r="W160" s="454"/>
      <c r="X160" s="454"/>
      <c r="Y160" s="454"/>
      <c r="Z160" s="454"/>
      <c r="AA160" s="454"/>
      <c r="AB160" s="454"/>
      <c r="AC160" s="454"/>
      <c r="AD160" s="454"/>
      <c r="AE160" s="454"/>
      <c r="AF160" s="454"/>
      <c r="AG160" s="404"/>
      <c r="AH160" s="550"/>
      <c r="AI160" s="550"/>
      <c r="AJ160" s="380"/>
      <c r="AK160" s="380"/>
      <c r="AL160" s="380"/>
      <c r="AM160" s="380"/>
      <c r="AN160" s="380"/>
      <c r="AO160" s="380"/>
      <c r="AP160" s="380"/>
      <c r="AQ160" s="380"/>
      <c r="AR160" s="380"/>
      <c r="AS160" s="380"/>
      <c r="AT160" s="380"/>
      <c r="AU160" s="377"/>
      <c r="AV160" s="560"/>
      <c r="AW160" s="455"/>
      <c r="AX160" s="454"/>
      <c r="AY160" s="456"/>
      <c r="AZ160" s="457"/>
      <c r="BA160" s="378"/>
    </row>
    <row r="161" spans="22:53" ht="19.899999999999999" customHeight="1" thickBot="1">
      <c r="V161" s="379"/>
      <c r="W161" s="454"/>
      <c r="X161" s="454"/>
      <c r="Y161" s="455"/>
      <c r="Z161" s="454"/>
      <c r="AA161" s="456"/>
      <c r="AB161" s="457"/>
      <c r="AC161" s="458"/>
      <c r="AD161" s="459"/>
      <c r="AE161" s="459"/>
      <c r="AF161" s="458"/>
      <c r="AG161" s="569"/>
      <c r="AH161" s="550"/>
      <c r="AI161" s="550"/>
      <c r="AJ161" s="380"/>
      <c r="AK161" s="380"/>
      <c r="AL161" s="380"/>
      <c r="AM161" s="380"/>
      <c r="AN161" s="380"/>
      <c r="AO161" s="380"/>
      <c r="AP161" s="380"/>
      <c r="AQ161" s="380"/>
      <c r="AR161" s="380"/>
      <c r="AS161" s="380"/>
      <c r="AT161" s="380"/>
      <c r="AU161" s="377"/>
      <c r="AV161" s="560"/>
      <c r="AW161" s="455"/>
      <c r="AX161" s="454"/>
      <c r="AY161" s="456"/>
      <c r="AZ161" s="457"/>
      <c r="BA161" s="378"/>
    </row>
    <row r="162" spans="22:53" ht="28.15" customHeight="1" thickBot="1">
      <c r="V162" s="379"/>
      <c r="W162" s="454"/>
      <c r="X162" s="454"/>
      <c r="Y162" s="455"/>
      <c r="Z162" s="455"/>
      <c r="AA162" s="455"/>
      <c r="AB162" s="455"/>
      <c r="AC162" s="455"/>
      <c r="AD162" s="455"/>
      <c r="AE162" s="459"/>
      <c r="AF162" s="578" t="s">
        <v>230</v>
      </c>
      <c r="AG162" s="570"/>
      <c r="AH162" s="550"/>
      <c r="AI162" s="550"/>
      <c r="AJ162" s="380"/>
      <c r="AK162" s="380"/>
      <c r="AL162" s="380"/>
      <c r="AM162" s="380"/>
      <c r="AN162" s="380"/>
      <c r="AO162" s="380"/>
      <c r="AP162" s="380"/>
      <c r="AQ162" s="380"/>
      <c r="AR162" s="380"/>
      <c r="AS162" s="380"/>
      <c r="AT162" s="380"/>
      <c r="AU162" s="377"/>
      <c r="AV162" s="560"/>
      <c r="AW162" s="455"/>
      <c r="AX162" s="454"/>
      <c r="AY162" s="456"/>
      <c r="AZ162" s="457"/>
      <c r="BA162" s="378"/>
    </row>
    <row r="163" spans="22:53" ht="28.15" customHeight="1">
      <c r="V163" s="379"/>
      <c r="W163" s="454"/>
      <c r="X163" s="454"/>
      <c r="Y163" s="455"/>
      <c r="Z163" s="454"/>
      <c r="AA163" s="456"/>
      <c r="AB163" s="457"/>
      <c r="AC163" s="458"/>
      <c r="AD163" s="459"/>
      <c r="AE163" s="459"/>
      <c r="AF163" s="458"/>
      <c r="AG163" s="570"/>
      <c r="AH163" s="571"/>
      <c r="AI163" s="550"/>
      <c r="AJ163" s="380"/>
      <c r="AK163" s="380"/>
      <c r="AL163" s="380"/>
      <c r="AM163" s="380"/>
      <c r="AN163" s="380"/>
      <c r="AO163" s="380"/>
      <c r="AP163" s="380"/>
      <c r="AQ163" s="380"/>
      <c r="AR163" s="380"/>
      <c r="AS163" s="380"/>
      <c r="AT163" s="380"/>
      <c r="AU163" s="377"/>
      <c r="AV163" s="560"/>
      <c r="AW163" s="455"/>
      <c r="AX163" s="454"/>
      <c r="AY163" s="456"/>
      <c r="AZ163" s="457"/>
      <c r="BA163" s="378"/>
    </row>
    <row r="164" spans="22:53" ht="16.149999999999999" customHeight="1">
      <c r="V164" s="379"/>
      <c r="W164" s="572"/>
      <c r="X164" s="454"/>
      <c r="Y164" s="455"/>
      <c r="Z164" s="454"/>
      <c r="AA164" s="454"/>
      <c r="AB164" s="457"/>
      <c r="AC164" s="458"/>
      <c r="AD164" s="459"/>
      <c r="AE164" s="459"/>
      <c r="AF164" s="458"/>
      <c r="AG164" s="569"/>
      <c r="AH164" s="550"/>
      <c r="AI164" s="550"/>
      <c r="AJ164" s="380"/>
      <c r="AK164" s="380"/>
      <c r="AL164" s="380"/>
      <c r="AM164" s="380"/>
      <c r="AN164" s="380"/>
      <c r="AO164" s="380"/>
      <c r="AP164" s="380"/>
      <c r="AQ164" s="380"/>
      <c r="AR164" s="380"/>
      <c r="AS164" s="380"/>
      <c r="AT164" s="380"/>
      <c r="AU164" s="377"/>
      <c r="AV164" s="560"/>
      <c r="AW164" s="455"/>
      <c r="AX164" s="454"/>
      <c r="AY164" s="456"/>
      <c r="AZ164" s="457"/>
      <c r="BA164" s="378"/>
    </row>
    <row r="165" spans="22:53" ht="16.149999999999999" customHeight="1">
      <c r="V165" s="379"/>
      <c r="W165" s="454"/>
      <c r="X165" s="454"/>
      <c r="Y165" s="455"/>
      <c r="Z165" s="454"/>
      <c r="AA165" s="456"/>
      <c r="AB165" s="457"/>
      <c r="AC165" s="458"/>
      <c r="AD165" s="459"/>
      <c r="AE165" s="459"/>
      <c r="AF165" s="458"/>
      <c r="AG165" s="542"/>
      <c r="AH165" s="406"/>
      <c r="AI165" s="406"/>
      <c r="AJ165" s="378"/>
      <c r="AK165" s="378"/>
      <c r="AL165" s="378"/>
      <c r="AM165" s="378"/>
      <c r="AN165" s="378"/>
      <c r="AO165" s="378"/>
      <c r="AP165" s="378"/>
      <c r="AQ165" s="378"/>
      <c r="AR165" s="378"/>
      <c r="AS165" s="378"/>
      <c r="AT165" s="378"/>
      <c r="AU165" s="522"/>
      <c r="AV165" s="560"/>
      <c r="AW165" s="455"/>
      <c r="AX165" s="454"/>
      <c r="AY165" s="456"/>
      <c r="AZ165" s="457"/>
      <c r="BA165" s="378"/>
    </row>
    <row r="166" spans="22:53">
      <c r="V166" s="379"/>
      <c r="W166" s="454"/>
      <c r="X166" s="454"/>
      <c r="Y166" s="455"/>
      <c r="Z166" s="454"/>
      <c r="AA166" s="456"/>
      <c r="AB166" s="457"/>
      <c r="AC166" s="458"/>
      <c r="AD166" s="459"/>
      <c r="AE166" s="459"/>
      <c r="AF166" s="458"/>
      <c r="AG166" s="542"/>
      <c r="AH166" s="406"/>
      <c r="AI166" s="406"/>
      <c r="AJ166" s="378"/>
      <c r="AK166" s="378"/>
      <c r="AL166" s="378"/>
      <c r="AM166" s="378"/>
      <c r="AN166" s="378"/>
      <c r="AO166" s="378"/>
      <c r="AP166" s="378"/>
      <c r="AQ166" s="378"/>
      <c r="AR166" s="378"/>
      <c r="AS166" s="378"/>
      <c r="AT166" s="378"/>
      <c r="AU166" s="522"/>
      <c r="AV166" s="560"/>
      <c r="AW166" s="455"/>
      <c r="AX166" s="454"/>
      <c r="AY166" s="456"/>
      <c r="AZ166" s="457"/>
      <c r="BA166" s="378"/>
    </row>
    <row r="167" spans="22:53">
      <c r="V167" s="379"/>
      <c r="W167" s="454"/>
      <c r="X167" s="454"/>
      <c r="Y167" s="455"/>
      <c r="Z167" s="454"/>
      <c r="AA167" s="456"/>
      <c r="AB167" s="457"/>
      <c r="AC167" s="458"/>
      <c r="AD167" s="459"/>
      <c r="AE167" s="459"/>
      <c r="AF167" s="458"/>
      <c r="AG167" s="542"/>
      <c r="AH167" s="406"/>
      <c r="AI167" s="406"/>
      <c r="AJ167" s="378"/>
      <c r="AK167" s="378"/>
      <c r="AL167" s="378"/>
      <c r="AM167" s="378"/>
      <c r="AN167" s="378"/>
      <c r="AO167" s="378"/>
      <c r="AP167" s="378"/>
      <c r="AQ167" s="378"/>
      <c r="AR167" s="378"/>
      <c r="AS167" s="378"/>
      <c r="AT167" s="378"/>
      <c r="AU167" s="522"/>
      <c r="AV167" s="560"/>
      <c r="AW167" s="455"/>
      <c r="AX167" s="454"/>
      <c r="AY167" s="456"/>
      <c r="AZ167" s="457"/>
      <c r="BA167" s="378"/>
    </row>
    <row r="168" spans="22:53">
      <c r="V168" s="379"/>
      <c r="W168" s="454"/>
      <c r="X168" s="454"/>
      <c r="Y168" s="455"/>
      <c r="Z168" s="454"/>
      <c r="AA168" s="456"/>
      <c r="AB168" s="457"/>
      <c r="AC168" s="458"/>
      <c r="AD168" s="459"/>
      <c r="AE168" s="459"/>
      <c r="AF168" s="458"/>
      <c r="AG168" s="542"/>
      <c r="AH168" s="406"/>
      <c r="AI168" s="406"/>
      <c r="AJ168" s="378"/>
      <c r="AK168" s="378"/>
      <c r="AL168" s="378"/>
      <c r="AM168" s="378"/>
      <c r="AN168" s="378"/>
      <c r="AO168" s="378"/>
      <c r="AP168" s="378"/>
      <c r="AQ168" s="378"/>
      <c r="AR168" s="378"/>
      <c r="AS168" s="378"/>
      <c r="AT168" s="378"/>
      <c r="AU168" s="522"/>
      <c r="AV168" s="560"/>
      <c r="AW168" s="455"/>
      <c r="AX168" s="454"/>
      <c r="AY168" s="456"/>
      <c r="AZ168" s="457"/>
      <c r="BA168" s="378"/>
    </row>
    <row r="169" spans="22:53">
      <c r="AV169" s="574"/>
      <c r="AY169" s="8"/>
    </row>
    <row r="170" spans="22:53">
      <c r="AV170" s="574"/>
      <c r="AY170" s="8"/>
    </row>
    <row r="171" spans="22:53">
      <c r="AV171" s="574"/>
      <c r="AY171" s="8"/>
    </row>
    <row r="172" spans="22:53">
      <c r="AV172" s="574"/>
      <c r="AY172" s="8"/>
    </row>
    <row r="173" spans="22:53">
      <c r="AV173" s="574"/>
      <c r="AY173" s="8"/>
    </row>
    <row r="174" spans="22:53">
      <c r="AV174" s="574"/>
      <c r="AY174" s="8"/>
    </row>
    <row r="175" spans="22:53">
      <c r="AV175" s="574"/>
      <c r="AY175" s="8"/>
    </row>
    <row r="176" spans="22:53">
      <c r="AV176" s="574"/>
      <c r="AY176" s="8"/>
    </row>
    <row r="177" spans="48:51">
      <c r="AV177" s="574"/>
      <c r="AY177" s="8"/>
    </row>
    <row r="178" spans="48:51">
      <c r="AV178" s="574"/>
      <c r="AY178" s="8"/>
    </row>
    <row r="179" spans="48:51">
      <c r="AV179" s="574"/>
      <c r="AY179" s="8"/>
    </row>
    <row r="180" spans="48:51">
      <c r="AV180" s="574"/>
      <c r="AY180" s="8"/>
    </row>
    <row r="181" spans="48:51">
      <c r="AV181" s="574"/>
      <c r="AY181" s="8"/>
    </row>
    <row r="182" spans="48:51">
      <c r="AV182" s="574"/>
      <c r="AY182" s="8"/>
    </row>
    <row r="183" spans="48:51">
      <c r="AV183" s="574"/>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W92:W97"/>
    <mergeCell ref="AJ151:AU154"/>
    <mergeCell ref="W28:W33"/>
    <mergeCell ref="W4:W9"/>
    <mergeCell ref="W84:W89"/>
    <mergeCell ref="W60:W65"/>
    <mergeCell ref="W68:W7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3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3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3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31"/>
      <c r="B1" s="27"/>
      <c r="C1" s="28"/>
      <c r="D1" s="28"/>
      <c r="E1" s="28"/>
      <c r="F1" s="28"/>
      <c r="G1" s="28"/>
      <c r="H1" s="28"/>
      <c r="I1" s="28"/>
      <c r="J1" s="28"/>
      <c r="K1" s="28"/>
      <c r="L1" s="28"/>
      <c r="M1" s="31"/>
      <c r="N1" s="27"/>
      <c r="O1" s="28"/>
      <c r="P1" s="28"/>
      <c r="Q1" s="28"/>
      <c r="R1" s="28"/>
      <c r="S1" s="28"/>
      <c r="T1" s="28"/>
      <c r="U1" s="28"/>
      <c r="V1" s="28"/>
      <c r="W1" s="28"/>
      <c r="X1" s="31"/>
      <c r="Y1" s="27"/>
      <c r="Z1" s="27"/>
      <c r="AA1" s="28"/>
      <c r="AB1" s="28"/>
      <c r="AC1" s="28"/>
      <c r="AD1" s="31"/>
      <c r="AE1" s="28"/>
      <c r="AF1" s="28"/>
      <c r="AG1" s="28"/>
      <c r="AH1" s="27"/>
      <c r="AI1" s="28"/>
      <c r="AJ1" s="28"/>
      <c r="AK1" s="28"/>
      <c r="AL1" s="31"/>
      <c r="AM1" s="28"/>
      <c r="AN1" s="28"/>
      <c r="AO1" s="28"/>
      <c r="AP1" s="27"/>
      <c r="AQ1" s="28"/>
      <c r="AR1" s="28"/>
      <c r="AS1" s="28"/>
      <c r="AT1" s="31"/>
      <c r="AU1" s="28"/>
      <c r="AV1" s="28"/>
      <c r="AW1" s="28"/>
      <c r="AX1" s="28"/>
      <c r="AY1" s="28"/>
      <c r="AZ1" s="28"/>
      <c r="BA1" s="28"/>
      <c r="BB1" s="28"/>
      <c r="BC1" s="28"/>
      <c r="BD1" s="28"/>
      <c r="BE1" s="28"/>
    </row>
    <row r="2" spans="1:67" ht="10.15" customHeight="1" thickBot="1">
      <c r="A2" s="31"/>
      <c r="B2" s="27"/>
      <c r="C2" s="26"/>
      <c r="D2" s="26"/>
      <c r="E2" s="26"/>
      <c r="F2" s="26"/>
      <c r="G2" s="26"/>
      <c r="H2" s="26"/>
      <c r="I2" s="26"/>
      <c r="J2" s="26"/>
      <c r="K2" s="26"/>
      <c r="L2" s="26"/>
      <c r="M2" s="30"/>
      <c r="N2" s="166"/>
      <c r="O2" s="167"/>
      <c r="P2" s="26"/>
      <c r="Q2" s="28"/>
      <c r="R2" s="28"/>
      <c r="S2" s="168"/>
      <c r="T2" s="28"/>
      <c r="U2" s="26"/>
      <c r="V2" s="26"/>
      <c r="W2" s="26"/>
      <c r="X2" s="30"/>
      <c r="Y2" s="166"/>
      <c r="Z2" s="166"/>
      <c r="AA2" s="28"/>
      <c r="AB2" s="28"/>
      <c r="AC2" s="28"/>
      <c r="AD2" s="30"/>
      <c r="AE2" s="28"/>
      <c r="AF2" s="28"/>
      <c r="AG2" s="28"/>
      <c r="AH2" s="27"/>
      <c r="AI2" s="169"/>
      <c r="AJ2" s="169"/>
      <c r="AK2" s="169"/>
      <c r="AL2" s="170"/>
      <c r="AM2" s="169"/>
      <c r="AN2" s="169"/>
      <c r="AO2" s="169"/>
      <c r="AP2" s="31"/>
      <c r="AQ2" s="169"/>
      <c r="AR2" s="169"/>
      <c r="AS2" s="169"/>
      <c r="AT2" s="31"/>
      <c r="AU2" s="169"/>
      <c r="AV2" s="169"/>
      <c r="AW2" s="169"/>
      <c r="AX2" s="28"/>
      <c r="AY2" s="28"/>
      <c r="AZ2" s="28"/>
      <c r="BA2" s="28"/>
      <c r="BB2" s="28"/>
      <c r="BC2" s="28"/>
      <c r="BD2" s="28"/>
      <c r="BE2" s="28"/>
    </row>
    <row r="3" spans="1:67" ht="16.149999999999999" customHeight="1" thickBot="1">
      <c r="A3" s="31">
        <v>1</v>
      </c>
      <c r="B3" s="171" t="s">
        <v>20</v>
      </c>
      <c r="C3" s="172" t="str">
        <f>+MID(INDEX(WORLDCUP!$AA$4:$AA$147,MATCH(A3,WORLDCUP!$AH$4:$AH$147,0)),1,3)</f>
        <v>Mex</v>
      </c>
      <c r="D3" s="173">
        <f>IF(ISBLANK(INDEX(WORLDCUP!$AC$4:$AC$147,MATCH(A3,WORLDCUP!$AH$4:$AH$147,0))),"",INDEX(WORLDCUP!$AC$4:$AC$147,MATCH(A3,WORLDCUP!$AH$4:$AH$147,0)))</f>
        <v>2</v>
      </c>
      <c r="E3" s="173">
        <f>IF(ISBLANK(INDEX(WORLDCUP!$AD$4:$AD$147,MATCH(A3,WORLDCUP!$AH$4:$AH$147,0))),"",INDEX(WORLDCUP!$AD$4:$AD$147,MATCH(A3,WORLDCUP!$AH$4:$AH$147,0)))</f>
        <v>0</v>
      </c>
      <c r="F3" s="174" t="str">
        <f>+MID(INDEX(WORLDCUP!$AF$4:$AF$147,MATCH(A3,WORLDCUP!$AH$4:$AH$147,0)),1,3)</f>
        <v>Sou</v>
      </c>
      <c r="G3" s="175"/>
      <c r="H3" s="176" t="str">
        <f>MID(WORLDCUP!AL5,1,3)</f>
        <v>Nat</v>
      </c>
      <c r="I3" s="177" t="s">
        <v>231</v>
      </c>
      <c r="J3" s="177" t="str">
        <f>WORLDCUP!AT5</f>
        <v>GD</v>
      </c>
      <c r="K3" s="178" t="str">
        <f>WORLDCUP!AR5&amp;"-"&amp;WORLDCUP!AS5</f>
        <v>F-A</v>
      </c>
      <c r="L3" s="31"/>
      <c r="M3" s="31">
        <v>16</v>
      </c>
      <c r="N3" s="179" t="s">
        <v>125</v>
      </c>
      <c r="O3" s="172" t="str">
        <f>+MID(INDEX(WORLDCUP!$AA$4:$AA$147,MATCH(M3,WORLDCUP!$AH$4:$AH$147,0)),1,3)</f>
        <v>Bel</v>
      </c>
      <c r="P3" s="173">
        <f>IF(ISBLANK(INDEX(WORLDCUP!$AC$4:$AC$147,MATCH(M3,WORLDCUP!$AH$4:$AH$147,0))),"",INDEX(WORLDCUP!$AC$4:$AC$147,MATCH(M3,WORLDCUP!$AH$4:$AH$147,0)))</f>
        <v>2</v>
      </c>
      <c r="Q3" s="173">
        <f>IF(ISBLANK(INDEX(WORLDCUP!$AD$4:$AD$147,MATCH(M3,WORLDCUP!$AH$4:$AH$147,0))),"",INDEX(WORLDCUP!$AD$4:$AD$147,MATCH(M3,WORLDCUP!$AH$4:$AH$147,0)))</f>
        <v>0</v>
      </c>
      <c r="R3" s="174" t="str">
        <f>+MID(INDEX(WORLDCUP!$AF$4:$AF$147,MATCH(M3,WORLDCUP!$AH$4:$AH$147,0)),1,3)</f>
        <v>Egy</v>
      </c>
      <c r="S3" s="175"/>
      <c r="T3" s="176" t="str">
        <f>+H43</f>
        <v>Nat</v>
      </c>
      <c r="U3" s="177" t="str">
        <f>+I43</f>
        <v>Pts</v>
      </c>
      <c r="V3" s="177" t="str">
        <f>+J43</f>
        <v>GD</v>
      </c>
      <c r="W3" s="178" t="str">
        <f>+K43</f>
        <v>F-A</v>
      </c>
      <c r="X3" s="31"/>
      <c r="Y3" s="31">
        <v>74</v>
      </c>
      <c r="Z3" s="180" t="s">
        <v>92</v>
      </c>
      <c r="AA3" s="181" t="str">
        <f>+MID(INDEX(WORLDCUP!$AA$101:$AA$147,MATCH(Y3,WORLDCUP!$Z$101:$Z$147,0)),1,3)</f>
        <v>Ger</v>
      </c>
      <c r="AB3" s="182">
        <f>+IF(ISBLANK(INDEX(WORLDCUP!$AC$101:$AC$147,MATCH(Y3,WORLDCUP!$Z$101:$Z$147,0))),"",INDEX(WORLDCUP!$AC$101:$AC$147,MATCH(Y3,WORLDCUP!$Z$101:$Z$147,0)))</f>
        <v>4</v>
      </c>
      <c r="AC3" s="183" t="str">
        <f>+IF(ISBLANK(INDEX(WORLDCUP!$AB$101:$AB$147,MATCH(Y3,WORLDCUP!$Z$101:$Z$147,0))),"","( "&amp;INDEX(WORLDCUP!$AB$101:$AB$147,MATCH(Y3,WORLDCUP!$Z$101:$Z$147,0))&amp;" )")</f>
        <v/>
      </c>
      <c r="AD3" s="30"/>
      <c r="AE3" s="184"/>
      <c r="AF3" s="184"/>
      <c r="AG3" s="184"/>
      <c r="AH3" s="31"/>
      <c r="AI3" s="185"/>
      <c r="AJ3" s="185"/>
      <c r="AK3" s="185"/>
      <c r="AL3" s="170"/>
      <c r="AM3" s="186"/>
      <c r="AN3" s="186"/>
      <c r="AO3" s="186"/>
      <c r="AP3" s="31"/>
      <c r="AQ3" s="187"/>
      <c r="AR3" s="187"/>
      <c r="AS3" s="187"/>
      <c r="AT3" s="31"/>
      <c r="AU3" s="188"/>
      <c r="AV3" s="188"/>
      <c r="AW3" s="188"/>
      <c r="AX3" s="31"/>
      <c r="AY3" s="28"/>
      <c r="AZ3" s="28"/>
      <c r="BA3" s="28"/>
      <c r="BB3" s="28"/>
      <c r="BC3" s="28"/>
      <c r="BD3" s="28"/>
      <c r="BE3" s="28"/>
      <c r="BG3" s="189"/>
      <c r="BH3" s="190" t="s">
        <v>125</v>
      </c>
      <c r="BI3" s="191" t="s">
        <v>145</v>
      </c>
      <c r="BJ3" s="192" t="s">
        <v>178</v>
      </c>
      <c r="BK3" s="193" t="s">
        <v>203</v>
      </c>
      <c r="BL3" s="194" t="s">
        <v>219</v>
      </c>
      <c r="BM3" s="195" t="s">
        <v>232</v>
      </c>
      <c r="BN3" s="196" t="s">
        <v>233</v>
      </c>
      <c r="BO3" s="197" t="s">
        <v>234</v>
      </c>
    </row>
    <row r="4" spans="1:67" ht="16.149999999999999" customHeight="1" thickBot="1">
      <c r="A4" s="31">
        <v>2</v>
      </c>
      <c r="B4" s="198"/>
      <c r="C4" s="199" t="str">
        <f>+MID(INDEX(WORLDCUP!$AA$4:$AA$147,MATCH(A4,WORLDCUP!$AH$4:$AH$147,0)),1,3)</f>
        <v>Sou</v>
      </c>
      <c r="D4" s="200">
        <f>IF(ISBLANK(INDEX(WORLDCUP!$AC$4:$AC$147,MATCH(A4,WORLDCUP!$AH$4:$AH$147,0))),"",INDEX(WORLDCUP!$AC$4:$AC$147,MATCH(A4,WORLDCUP!$AH$4:$AH$147,0)))</f>
        <v>0</v>
      </c>
      <c r="E4" s="200">
        <f>IF(ISBLANK(INDEX(WORLDCUP!$AD$4:$AD$147,MATCH(A4,WORLDCUP!$AH$4:$AH$147,0))),"",INDEX(WORLDCUP!$AD$4:$AD$147,MATCH(A4,WORLDCUP!$AH$4:$AH$147,0)))</f>
        <v>1</v>
      </c>
      <c r="F4" s="201" t="str">
        <f>+MID(INDEX(WORLDCUP!$AF$4:$AF$147,MATCH(A4,WORLDCUP!$AH$4:$AH$147,0)),1,3)</f>
        <v>Cze</v>
      </c>
      <c r="G4" s="202">
        <v>1</v>
      </c>
      <c r="H4" s="203" t="str">
        <f>+MID(INDEX(WORLDCUP!$AL$6:$AL$97,MATCH(L4,WORLDCUP!$AI$6:$AI$97,0)),1,3)</f>
        <v>Cze</v>
      </c>
      <c r="I4" s="204">
        <f>+INDEX(WORLDCUP!$AM$6:$AM$97,MATCH(L4,WORLDCUP!$AI$6:$AI$97,0))</f>
        <v>9</v>
      </c>
      <c r="J4" s="205">
        <f>+INDEX(WORLDCUP!$AT$6:$AT$97,MATCH(L4,WORLDCUP!$AI$6:$AI$97,0))</f>
        <v>5</v>
      </c>
      <c r="K4" s="206" t="str">
        <f>+INDEX(WORLDCUP!$AR$6:$AR$97,MATCH(L4,WORLDCUP!$AI$6:$AI$97,0))&amp;"-"&amp;INDEX(WORLDCUP!$AS$6:$AS$97,MATCH(L4,WORLDCUP!$AI$6:$AI$97,0))</f>
        <v>5-0</v>
      </c>
      <c r="L4" s="31" t="s">
        <v>74</v>
      </c>
      <c r="M4" s="31">
        <v>15</v>
      </c>
      <c r="N4" s="207"/>
      <c r="O4" s="199" t="str">
        <f>+MID(INDEX(WORLDCUP!$AA$4:$AA$147,MATCH(M4,WORLDCUP!$AH$4:$AH$147,0)),1,3)</f>
        <v>Ira</v>
      </c>
      <c r="P4" s="200">
        <f>IF(ISBLANK(INDEX(WORLDCUP!$AC$4:$AC$147,MATCH(M4,WORLDCUP!$AH$4:$AH$147,0))),"",INDEX(WORLDCUP!$AC$4:$AC$147,MATCH(M4,WORLDCUP!$AH$4:$AH$147,0)))</f>
        <v>1</v>
      </c>
      <c r="Q4" s="200">
        <f>IF(ISBLANK(INDEX(WORLDCUP!$AD$4:$AD$147,MATCH(M4,WORLDCUP!$AH$4:$AH$147,0))),"",INDEX(WORLDCUP!$AD$4:$AD$147,MATCH(M4,WORLDCUP!$AH$4:$AH$147,0)))</f>
        <v>0</v>
      </c>
      <c r="R4" s="201" t="str">
        <f>+MID(INDEX(WORLDCUP!$AF$4:$AF$147,MATCH(M4,WORLDCUP!$AH$4:$AH$147,0)),1,3)</f>
        <v>New</v>
      </c>
      <c r="S4" s="202">
        <v>1</v>
      </c>
      <c r="T4" s="203" t="str">
        <f>+MID(INDEX(WORLDCUP!$AL$6:$AL$97,MATCH(X4,WORLDCUP!$AI$6:$AI$97,0)),1,3)</f>
        <v>Bel</v>
      </c>
      <c r="U4" s="204">
        <f>+INDEX(WORLDCUP!$AM$6:$AM$97,MATCH(X4,WORLDCUP!$AI$6:$AI$97,0))</f>
        <v>9</v>
      </c>
      <c r="V4" s="205">
        <f>+INDEX(WORLDCUP!$AT$6:$AT$97,MATCH(X4,WORLDCUP!$AI$6:$AI$97,0))</f>
        <v>5</v>
      </c>
      <c r="W4" s="206" t="str">
        <f>+INDEX(WORLDCUP!$AR$6:$AR$97,MATCH(X4,WORLDCUP!$AI$6:$AI$97,0))&amp;"-"&amp;INDEX(WORLDCUP!$AS$6:$AS$97,MATCH(X4,WORLDCUP!$AI$6:$AI$97,0))</f>
        <v>6-1</v>
      </c>
      <c r="X4" s="31" t="s">
        <v>101</v>
      </c>
      <c r="Y4" s="31">
        <v>74</v>
      </c>
      <c r="Z4" s="180" t="s">
        <v>146</v>
      </c>
      <c r="AA4" s="181" t="str">
        <f>+MID(INDEX(WORLDCUP!$AF$101:$AF$147,MATCH(Y4,WORLDCUP!$Z$101:$Z$147,0)),1,IF(WORLDCUP!$H$113&lt;144,6,3))</f>
        <v>Par</v>
      </c>
      <c r="AB4" s="208">
        <f>+IF(ISBLANK(INDEX(WORLDCUP!$AD$101:$AD$147,MATCH(Y4,WORLDCUP!$Z$101:$Z$147,0))),"",INDEX(WORLDCUP!$AD$101:$AD$147,MATCH(Y4,WORLDCUP!$Z$101:$Z$147,0)))</f>
        <v>1</v>
      </c>
      <c r="AC4" s="209" t="str">
        <f>+IF(ISBLANK(INDEX(WORLDCUP!$AE$101:$AE$147,MATCH(Y4,WORLDCUP!$Z$101:$Z$147,0))),"","( "&amp;INDEX(WORLDCUP!$AE$101:$AE$147,MATCH(Y4,WORLDCUP!$Z$101:$Z$147,0))&amp;" )")</f>
        <v/>
      </c>
      <c r="AD4" s="210">
        <v>89</v>
      </c>
      <c r="AE4" s="211" t="str">
        <f>+MID(INDEX(WORLDCUP!$AA$101:$AA$147,MATCH(AD4,WORLDCUP!$Z$101:$Z$147,0)),1,3)</f>
        <v>Ger</v>
      </c>
      <c r="AF4" s="212">
        <f>+IF(ISBLANK(INDEX(WORLDCUP!$AC$101:$AC$147,MATCH(AD4,WORLDCUP!$Z$101:$Z$147,0))),"",INDEX(WORLDCUP!$AC$101:$AC$147,MATCH(AD4,WORLDCUP!$Z$101:$Z$147,0)))</f>
        <v>2</v>
      </c>
      <c r="AG4" s="213" t="str">
        <f>+IF(ISBLANK(INDEX(WORLDCUP!$AB$101:$AB$147,MATCH(AD4,WORLDCUP!$Z$101:$Z$147,0))),"","( "&amp;INDEX(WORLDCUP!$AB$101:$AB$147,MATCH(AD4,WORLDCUP!$Z$101:$Z$147,0))&amp;" )")</f>
        <v/>
      </c>
      <c r="AH4" s="31"/>
      <c r="AI4" s="214"/>
      <c r="AJ4" s="214"/>
      <c r="AK4" s="214"/>
      <c r="AL4" s="170"/>
      <c r="AM4" s="186"/>
      <c r="AN4" s="186"/>
      <c r="AO4" s="186"/>
      <c r="AP4" s="31"/>
      <c r="AQ4" s="215"/>
      <c r="AR4" s="215"/>
      <c r="AS4" s="215"/>
      <c r="AT4" s="31"/>
      <c r="AU4" s="188"/>
      <c r="AV4" s="188"/>
      <c r="AW4" s="188"/>
      <c r="AX4" s="31"/>
      <c r="AY4" s="216"/>
      <c r="AZ4" s="28"/>
      <c r="BA4" s="28"/>
      <c r="BB4" s="28"/>
      <c r="BC4" s="28"/>
      <c r="BD4" s="28"/>
      <c r="BE4" s="28"/>
      <c r="BG4" s="217" t="str">
        <f>Horarios!Q3</f>
        <v>Algeria</v>
      </c>
      <c r="BH4" s="218">
        <f t="shared" ref="BH4:BH51" si="0">1-SUM(BI4:BO4)</f>
        <v>1</v>
      </c>
      <c r="BI4" s="218">
        <f>COUNTIF(Pool!$C$130:$C$161,Fixture!BG4)-BJ4-BK4-BL4-BM4-BN4-BO4</f>
        <v>0</v>
      </c>
      <c r="BJ4" s="219">
        <f>COUNTIF(Pool!$C$182:$C$197,Fixture!BG4)-BK4-BL4-BM4-BN4-BO4</f>
        <v>0</v>
      </c>
      <c r="BK4" s="220">
        <f>COUNTIF(Pool!$C$210:$C$217,Fixture!BG4)-BL4-BM4-BN4-BO4</f>
        <v>0</v>
      </c>
      <c r="BL4" s="220">
        <f>COUNTIF(Pool!$C$226:$C$229,Fixture!BG4)-BM4-BN4-BO4</f>
        <v>0</v>
      </c>
      <c r="BM4" s="218">
        <f>COUNTIF(Pool!$C$252,Fixture!BG4)</f>
        <v>0</v>
      </c>
      <c r="BN4" s="218">
        <f>COUNTIF(Pool!$C$251,Fixture!BG4)</f>
        <v>0</v>
      </c>
      <c r="BO4" s="221">
        <f>COUNTIF(Pool!$C$250,Fixture!BG4)</f>
        <v>0</v>
      </c>
    </row>
    <row r="5" spans="1:67">
      <c r="A5" s="31">
        <v>25</v>
      </c>
      <c r="B5" s="198"/>
      <c r="C5" s="199" t="str">
        <f>+MID(INDEX(WORLDCUP!$AA$4:$AA$147,MATCH(A5,WORLDCUP!$AH$4:$AH$147,0)),1,3)</f>
        <v>Cze</v>
      </c>
      <c r="D5" s="200">
        <f>IF(ISBLANK(INDEX(WORLDCUP!$AC$4:$AC$147,MATCH(A5,WORLDCUP!$AH$4:$AH$147,0))),"",INDEX(WORLDCUP!$AC$4:$AC$147,MATCH(A5,WORLDCUP!$AH$4:$AH$147,0)))</f>
        <v>2</v>
      </c>
      <c r="E5" s="200">
        <f>IF(ISBLANK(INDEX(WORLDCUP!$AD$4:$AD$147,MATCH(A5,WORLDCUP!$AH$4:$AH$147,0))),"",INDEX(WORLDCUP!$AD$4:$AD$147,MATCH(A5,WORLDCUP!$AH$4:$AH$147,0)))</f>
        <v>0</v>
      </c>
      <c r="F5" s="201" t="str">
        <f>+MID(INDEX(WORLDCUP!$AF$4:$AF$147,MATCH(A5,WORLDCUP!$AH$4:$AH$147,0)),1,3)</f>
        <v>Sou</v>
      </c>
      <c r="G5" s="222">
        <v>2</v>
      </c>
      <c r="H5" s="223" t="str">
        <f>+MID(INDEX(WORLDCUP!$AL$6:$AL$97,MATCH(L5,WORLDCUP!$AI$6:$AI$97,0)),1,3)</f>
        <v>Sou</v>
      </c>
      <c r="I5" s="12">
        <f>+INDEX(WORLDCUP!$AM$6:$AM$97,MATCH(L5,WORLDCUP!$AI$6:$AI$97,0))</f>
        <v>6</v>
      </c>
      <c r="J5" s="13">
        <f>+INDEX(WORLDCUP!$AT$6:$AT$97,MATCH(L5,WORLDCUP!$AI$6:$AI$97,0))</f>
        <v>2</v>
      </c>
      <c r="K5" s="14" t="str">
        <f>+INDEX(WORLDCUP!$AR$6:$AR$97,MATCH(L5,WORLDCUP!$AI$6:$AI$97,0))&amp;"-"&amp;INDEX(WORLDCUP!$AS$6:$AS$97,MATCH(L5,WORLDCUP!$AI$6:$AI$97,0))</f>
        <v>3-1</v>
      </c>
      <c r="L5" s="31" t="s">
        <v>75</v>
      </c>
      <c r="M5" s="31">
        <v>39</v>
      </c>
      <c r="N5" s="207"/>
      <c r="O5" s="199" t="str">
        <f>+MID(INDEX(WORLDCUP!$AA$4:$AA$147,MATCH(M5,WORLDCUP!$AH$4:$AH$147,0)),1,3)</f>
        <v>Bel</v>
      </c>
      <c r="P5" s="200">
        <f>IF(ISBLANK(INDEX(WORLDCUP!$AC$4:$AC$147,MATCH(M5,WORLDCUP!$AH$4:$AH$147,0))),"",INDEX(WORLDCUP!$AC$4:$AC$147,MATCH(M5,WORLDCUP!$AH$4:$AH$147,0)))</f>
        <v>2</v>
      </c>
      <c r="Q5" s="200">
        <f>IF(ISBLANK(INDEX(WORLDCUP!$AD$4:$AD$147,MATCH(M5,WORLDCUP!$AH$4:$AH$147,0))),"",INDEX(WORLDCUP!$AD$4:$AD$147,MATCH(M5,WORLDCUP!$AH$4:$AH$147,0)))</f>
        <v>1</v>
      </c>
      <c r="R5" s="201" t="str">
        <f>+MID(INDEX(WORLDCUP!$AF$4:$AF$147,MATCH(M5,WORLDCUP!$AH$4:$AH$147,0)),1,3)</f>
        <v>Ira</v>
      </c>
      <c r="S5" s="222">
        <v>2</v>
      </c>
      <c r="T5" s="223" t="str">
        <f>+MID(INDEX(WORLDCUP!$AL$6:$AL$97,MATCH(X5,WORLDCUP!$AI$6:$AI$97,0)),1,3)</f>
        <v>Ira</v>
      </c>
      <c r="U5" s="12">
        <f>+INDEX(WORLDCUP!$AM$6:$AM$97,MATCH(X5,WORLDCUP!$AI$6:$AI$97,0))</f>
        <v>6</v>
      </c>
      <c r="V5" s="13">
        <f>+INDEX(WORLDCUP!$AT$6:$AT$97,MATCH(X5,WORLDCUP!$AI$6:$AI$97,0))</f>
        <v>1</v>
      </c>
      <c r="W5" s="14" t="str">
        <f>+INDEX(WORLDCUP!$AR$6:$AR$97,MATCH(X5,WORLDCUP!$AI$6:$AI$97,0))&amp;"-"&amp;INDEX(WORLDCUP!$AS$6:$AS$97,MATCH(X5,WORLDCUP!$AI$6:$AI$97,0))</f>
        <v>3-2</v>
      </c>
      <c r="X5" s="31" t="s">
        <v>102</v>
      </c>
      <c r="Y5" s="31"/>
      <c r="Z5" s="180"/>
      <c r="AA5" s="224"/>
      <c r="AB5" s="224"/>
      <c r="AC5" s="225"/>
      <c r="AD5" s="31">
        <v>89</v>
      </c>
      <c r="AE5" s="211" t="str">
        <f>+MID(INDEX(WORLDCUP!$AF$101:$AF$147,MATCH(AD5,WORLDCUP!$Z$101:$Z$147,0)),1,3)</f>
        <v>Fra</v>
      </c>
      <c r="AF5" s="212">
        <f>+IF(ISBLANK(INDEX(WORLDCUP!$AD$101:$AD$147,MATCH(AD5,WORLDCUP!$Z$101:$Z$147,0))),"",INDEX(WORLDCUP!$AD$101:$AD$147,MATCH(AD5,WORLDCUP!$Z$101:$Z$147,0)))</f>
        <v>3</v>
      </c>
      <c r="AG5" s="226" t="str">
        <f>+IF(ISBLANK(INDEX(WORLDCUP!$AE$101:$AE$147,MATCH(AD5,WORLDCUP!$Z$101:$Z$147,0))),"","( "&amp;INDEX(WORLDCUP!$AE$101:$AE$147,MATCH(AD5,WORLDCUP!$Z$101:$Z$147,0))&amp;" )")</f>
        <v/>
      </c>
      <c r="AH5" s="31"/>
      <c r="AI5" s="214"/>
      <c r="AJ5" s="214"/>
      <c r="AK5" s="214"/>
      <c r="AL5" s="170"/>
      <c r="AM5" s="186"/>
      <c r="AN5" s="186"/>
      <c r="AO5" s="186"/>
      <c r="AP5" s="31"/>
      <c r="AQ5" s="215"/>
      <c r="AR5" s="215"/>
      <c r="AS5" s="215"/>
      <c r="AT5" s="31"/>
      <c r="AU5" s="188"/>
      <c r="AV5" s="188"/>
      <c r="AW5" s="188"/>
      <c r="AX5" s="31"/>
      <c r="AY5" s="28"/>
      <c r="AZ5" s="28"/>
      <c r="BA5" s="28"/>
      <c r="BB5" s="28"/>
      <c r="BC5" s="28"/>
      <c r="BD5" s="28"/>
      <c r="BE5" s="28"/>
      <c r="BG5" s="217" t="str">
        <f>Horarios!Q4</f>
        <v>Argentina</v>
      </c>
      <c r="BH5" s="218">
        <f t="shared" si="0"/>
        <v>0</v>
      </c>
      <c r="BI5" s="218">
        <f>COUNTIF(Pool!$C$130:$C$161,Fixture!BG5)-BJ5-BK5-BL5-BM5-BN5-BO5</f>
        <v>0</v>
      </c>
      <c r="BJ5" s="219">
        <f>COUNTIF(Pool!$C$182:$C$197,Fixture!BG5)-BK5-BL5-BM5-BN5-BO5</f>
        <v>0</v>
      </c>
      <c r="BK5" s="220">
        <f>COUNTIF(Pool!$C$210:$C$217,Fixture!BG5)-BL5-BM5-BN5-BO5</f>
        <v>1</v>
      </c>
      <c r="BL5" s="220">
        <f>COUNTIF(Pool!$C$226:$C$229,Fixture!BG5)-BM5-BN5-BO5</f>
        <v>0</v>
      </c>
      <c r="BM5" s="218">
        <f>COUNTIF(Pool!$C$252,Fixture!BG5)</f>
        <v>0</v>
      </c>
      <c r="BN5" s="218">
        <f>COUNTIF(Pool!$C$251,Fixture!BG5)</f>
        <v>0</v>
      </c>
      <c r="BO5" s="221">
        <f>COUNTIF(Pool!$C$250,Fixture!BG5)</f>
        <v>0</v>
      </c>
    </row>
    <row r="6" spans="1:67" ht="16.149999999999999" customHeight="1" thickBot="1">
      <c r="A6" s="31">
        <v>28</v>
      </c>
      <c r="B6" s="198"/>
      <c r="C6" s="199" t="str">
        <f>+MID(INDEX(WORLDCUP!$AA$4:$AA$147,MATCH(A6,WORLDCUP!$AH$4:$AH$147,0)),1,3)</f>
        <v>Mex</v>
      </c>
      <c r="D6" s="200">
        <f>IF(ISBLANK(INDEX(WORLDCUP!$AC$4:$AC$147,MATCH(A6,WORLDCUP!$AH$4:$AH$147,0))),"",INDEX(WORLDCUP!$AC$4:$AC$147,MATCH(A6,WORLDCUP!$AH$4:$AH$147,0)))</f>
        <v>0</v>
      </c>
      <c r="E6" s="200">
        <f>IF(ISBLANK(INDEX(WORLDCUP!$AD$4:$AD$147,MATCH(A6,WORLDCUP!$AH$4:$AH$147,0))),"",INDEX(WORLDCUP!$AD$4:$AD$147,MATCH(A6,WORLDCUP!$AH$4:$AH$147,0)))</f>
        <v>1</v>
      </c>
      <c r="F6" s="201" t="str">
        <f>+MID(INDEX(WORLDCUP!$AF$4:$AF$147,MATCH(A6,WORLDCUP!$AH$4:$AH$147,0)),1,3)</f>
        <v>Sou</v>
      </c>
      <c r="G6" s="222">
        <v>3</v>
      </c>
      <c r="H6" s="223" t="str">
        <f>+MID(INDEX(WORLDCUP!$AL$6:$AL$97,MATCH(L6,WORLDCUP!$AI$6:$AI$97,0)),1,3)</f>
        <v>Mex</v>
      </c>
      <c r="I6" s="12">
        <f>+INDEX(WORLDCUP!$AM$6:$AM$97,MATCH(L6,WORLDCUP!$AI$6:$AI$97,0))</f>
        <v>3</v>
      </c>
      <c r="J6" s="13">
        <f>+INDEX(WORLDCUP!$AT$6:$AT$97,MATCH(L6,WORLDCUP!$AI$6:$AI$97,0))</f>
        <v>-1</v>
      </c>
      <c r="K6" s="14" t="str">
        <f>+INDEX(WORLDCUP!$AR$6:$AR$97,MATCH(L6,WORLDCUP!$AI$6:$AI$97,0))&amp;"-"&amp;INDEX(WORLDCUP!$AS$6:$AS$97,MATCH(L6,WORLDCUP!$AI$6:$AI$97,0))</f>
        <v>2-3</v>
      </c>
      <c r="L6" s="31" t="s">
        <v>76</v>
      </c>
      <c r="M6" s="31">
        <v>40</v>
      </c>
      <c r="N6" s="207"/>
      <c r="O6" s="199" t="str">
        <f>+MID(INDEX(WORLDCUP!$AA$4:$AA$147,MATCH(M6,WORLDCUP!$AH$4:$AH$147,0)),1,3)</f>
        <v>New</v>
      </c>
      <c r="P6" s="200">
        <f>IF(ISBLANK(INDEX(WORLDCUP!$AC$4:$AC$147,MATCH(M6,WORLDCUP!$AH$4:$AH$147,0))),"",INDEX(WORLDCUP!$AC$4:$AC$147,MATCH(M6,WORLDCUP!$AH$4:$AH$147,0)))</f>
        <v>1</v>
      </c>
      <c r="Q6" s="200">
        <f>IF(ISBLANK(INDEX(WORLDCUP!$AD$4:$AD$147,MATCH(M6,WORLDCUP!$AH$4:$AH$147,0))),"",INDEX(WORLDCUP!$AD$4:$AD$147,MATCH(M6,WORLDCUP!$AH$4:$AH$147,0)))</f>
        <v>1</v>
      </c>
      <c r="R6" s="201" t="str">
        <f>+MID(INDEX(WORLDCUP!$AF$4:$AF$147,MATCH(M6,WORLDCUP!$AH$4:$AH$147,0)),1,3)</f>
        <v>Egy</v>
      </c>
      <c r="S6" s="222">
        <v>3</v>
      </c>
      <c r="T6" s="223" t="str">
        <f>+MID(INDEX(WORLDCUP!$AL$6:$AL$97,MATCH(X6,WORLDCUP!$AI$6:$AI$97,0)),1,3)</f>
        <v>Egy</v>
      </c>
      <c r="U6" s="12">
        <f>+INDEX(WORLDCUP!$AM$6:$AM$97,MATCH(X6,WORLDCUP!$AI$6:$AI$97,0))</f>
        <v>1</v>
      </c>
      <c r="V6" s="13">
        <f>+INDEX(WORLDCUP!$AT$6:$AT$97,MATCH(X6,WORLDCUP!$AI$6:$AI$97,0))</f>
        <v>-3</v>
      </c>
      <c r="W6" s="14" t="str">
        <f>+INDEX(WORLDCUP!$AR$6:$AR$97,MATCH(X6,WORLDCUP!$AI$6:$AI$97,0))&amp;"-"&amp;INDEX(WORLDCUP!$AS$6:$AS$97,MATCH(X6,WORLDCUP!$AI$6:$AI$97,0))</f>
        <v>1-4</v>
      </c>
      <c r="X6" s="31" t="s">
        <v>103</v>
      </c>
      <c r="Y6" s="31">
        <v>77</v>
      </c>
      <c r="Z6" s="180" t="s">
        <v>110</v>
      </c>
      <c r="AA6" s="181" t="str">
        <f>+MID(INDEX(WORLDCUP!$AA$101:$AA$147,MATCH(Y6,WORLDCUP!$Z$101:$Z$147,0)),1,3)</f>
        <v>Fra</v>
      </c>
      <c r="AB6" s="227">
        <f>+IF(ISBLANK(INDEX(WORLDCUP!$AC$101:$AC$147,MATCH(Y6,WORLDCUP!$Z$101:$Z$147,0))),"",INDEX(WORLDCUP!$AC$101:$AC$147,MATCH(Y6,WORLDCUP!$Z$101:$Z$147,0)))</f>
        <v>4</v>
      </c>
      <c r="AC6" s="228" t="str">
        <f>+IF(ISBLANK(INDEX(WORLDCUP!$AB$101:$AB$147,MATCH(Y6,WORLDCUP!$Z$101:$Z$147,0))),"","( "&amp;INDEX(WORLDCUP!$AB$101:$AB$147,MATCH(Y6,WORLDCUP!$Z$101:$Z$147,0))&amp;" )")</f>
        <v/>
      </c>
      <c r="AD6" s="31"/>
      <c r="AE6" s="229"/>
      <c r="AF6" s="229"/>
      <c r="AG6" s="230"/>
      <c r="AH6" s="31"/>
      <c r="AI6" s="214"/>
      <c r="AJ6" s="214"/>
      <c r="AK6" s="214"/>
      <c r="AL6" s="170"/>
      <c r="AM6" s="186"/>
      <c r="AN6" s="186"/>
      <c r="AO6" s="186"/>
      <c r="AP6" s="31"/>
      <c r="AQ6" s="215"/>
      <c r="AR6" s="215"/>
      <c r="AS6" s="215"/>
      <c r="AT6" s="31"/>
      <c r="AU6" s="188"/>
      <c r="AV6" s="188"/>
      <c r="AW6" s="188"/>
      <c r="AX6" s="31"/>
      <c r="AY6" s="28"/>
      <c r="AZ6" s="28"/>
      <c r="BA6" s="28"/>
      <c r="BB6" s="28"/>
      <c r="BC6" s="28"/>
      <c r="BD6" s="28"/>
      <c r="BE6" s="28"/>
      <c r="BG6" s="217" t="str">
        <f>Horarios!Q5</f>
        <v>Australia</v>
      </c>
      <c r="BH6" s="218">
        <f t="shared" si="0"/>
        <v>1</v>
      </c>
      <c r="BI6" s="218">
        <f>COUNTIF(Pool!$C$130:$C$161,Fixture!BG6)-BJ6-BK6-BL6-BM6-BN6-BO6</f>
        <v>0</v>
      </c>
      <c r="BJ6" s="219">
        <f>COUNTIF(Pool!$C$182:$C$197,Fixture!BG6)-BK6-BL6-BM6-BN6-BO6</f>
        <v>0</v>
      </c>
      <c r="BK6" s="220">
        <f>COUNTIF(Pool!$C$210:$C$217,Fixture!BG6)-BL6-BM6-BN6-BO6</f>
        <v>0</v>
      </c>
      <c r="BL6" s="220">
        <f>COUNTIF(Pool!$C$226:$C$229,Fixture!BG6)-BM6-BN6-BO6</f>
        <v>0</v>
      </c>
      <c r="BM6" s="218">
        <f>COUNTIF(Pool!$C$252,Fixture!BG6)</f>
        <v>0</v>
      </c>
      <c r="BN6" s="218">
        <f>COUNTIF(Pool!$C$251,Fixture!BG6)</f>
        <v>0</v>
      </c>
      <c r="BO6" s="221">
        <f>COUNTIF(Pool!$C$250,Fixture!BG6)</f>
        <v>0</v>
      </c>
    </row>
    <row r="7" spans="1:67" ht="16.149999999999999" customHeight="1" thickBot="1">
      <c r="A7" s="31">
        <v>53</v>
      </c>
      <c r="B7" s="198"/>
      <c r="C7" s="199" t="str">
        <f>+MID(INDEX(WORLDCUP!$AA$4:$AA$147,MATCH(A7,WORLDCUP!$AH$4:$AH$147,0)),1,3)</f>
        <v>Cze</v>
      </c>
      <c r="D7" s="200">
        <f>IF(ISBLANK(INDEX(WORLDCUP!$AC$4:$AC$147,MATCH(A7,WORLDCUP!$AH$4:$AH$147,0))),"",INDEX(WORLDCUP!$AC$4:$AC$147,MATCH(A7,WORLDCUP!$AH$4:$AH$147,0)))</f>
        <v>2</v>
      </c>
      <c r="E7" s="200">
        <f>IF(ISBLANK(INDEX(WORLDCUP!$AD$4:$AD$147,MATCH(A7,WORLDCUP!$AH$4:$AH$147,0))),"",INDEX(WORLDCUP!$AD$4:$AD$147,MATCH(A7,WORLDCUP!$AH$4:$AH$147,0)))</f>
        <v>0</v>
      </c>
      <c r="F7" s="201" t="str">
        <f>+MID(INDEX(WORLDCUP!$AF$4:$AF$147,MATCH(A7,WORLDCUP!$AH$4:$AH$147,0)),1,3)</f>
        <v>Mex</v>
      </c>
      <c r="G7" s="222">
        <v>4</v>
      </c>
      <c r="H7" s="231" t="str">
        <f>+MID(INDEX(WORLDCUP!$AL$6:$AL$97,MATCH(L7,WORLDCUP!$AI$6:$AI$97,0)),1,3)</f>
        <v>Sou</v>
      </c>
      <c r="I7" s="232">
        <f>+INDEX(WORLDCUP!$AM$6:$AM$97,MATCH(L7,WORLDCUP!$AI$6:$AI$97,0))</f>
        <v>0</v>
      </c>
      <c r="J7" s="233">
        <f>+INDEX(WORLDCUP!$AT$6:$AT$97,MATCH(L7,WORLDCUP!$AI$6:$AI$97,0))</f>
        <v>-6</v>
      </c>
      <c r="K7" s="234" t="str">
        <f>+INDEX(WORLDCUP!$AR$6:$AR$97,MATCH(L7,WORLDCUP!$AI$6:$AI$97,0))&amp;"-"&amp;INDEX(WORLDCUP!$AS$6:$AS$97,MATCH(L7,WORLDCUP!$AI$6:$AI$97,0))</f>
        <v>0-6</v>
      </c>
      <c r="L7" s="31" t="s">
        <v>77</v>
      </c>
      <c r="M7" s="31">
        <v>63</v>
      </c>
      <c r="N7" s="207"/>
      <c r="O7" s="199" t="str">
        <f>+MID(INDEX(WORLDCUP!$AA$4:$AA$147,MATCH(M7,WORLDCUP!$AH$4:$AH$147,0)),1,3)</f>
        <v>Egy</v>
      </c>
      <c r="P7" s="200">
        <f>IF(ISBLANK(INDEX(WORLDCUP!$AC$4:$AC$147,MATCH(M7,WORLDCUP!$AH$4:$AH$147,0))),"",INDEX(WORLDCUP!$AC$4:$AC$147,MATCH(M7,WORLDCUP!$AH$4:$AH$147,0)))</f>
        <v>0</v>
      </c>
      <c r="Q7" s="200">
        <f>IF(ISBLANK(INDEX(WORLDCUP!$AD$4:$AD$147,MATCH(M7,WORLDCUP!$AH$4:$AH$147,0))),"",INDEX(WORLDCUP!$AD$4:$AD$147,MATCH(M7,WORLDCUP!$AH$4:$AH$147,0)))</f>
        <v>1</v>
      </c>
      <c r="R7" s="201" t="str">
        <f>+MID(INDEX(WORLDCUP!$AF$4:$AF$147,MATCH(M7,WORLDCUP!$AH$4:$AH$147,0)),1,3)</f>
        <v>Ira</v>
      </c>
      <c r="S7" s="222">
        <v>4</v>
      </c>
      <c r="T7" s="231" t="str">
        <f>+MID(INDEX(WORLDCUP!$AL$6:$AL$97,MATCH(X7,WORLDCUP!$AI$6:$AI$97,0)),1,3)</f>
        <v>New</v>
      </c>
      <c r="U7" s="232">
        <f>+INDEX(WORLDCUP!$AM$6:$AM$97,MATCH(X7,WORLDCUP!$AI$6:$AI$97,0))</f>
        <v>1</v>
      </c>
      <c r="V7" s="233">
        <f>+INDEX(WORLDCUP!$AT$6:$AT$97,MATCH(X7,WORLDCUP!$AI$6:$AI$97,0))</f>
        <v>-3</v>
      </c>
      <c r="W7" s="234" t="str">
        <f>+INDEX(WORLDCUP!$AR$6:$AR$97,MATCH(X7,WORLDCUP!$AI$6:$AI$97,0))&amp;"-"&amp;INDEX(WORLDCUP!$AS$6:$AS$97,MATCH(X7,WORLDCUP!$AI$6:$AI$97,0))</f>
        <v>1-4</v>
      </c>
      <c r="X7" s="31" t="s">
        <v>104</v>
      </c>
      <c r="Y7" s="31">
        <v>77</v>
      </c>
      <c r="Z7" s="180" t="s">
        <v>155</v>
      </c>
      <c r="AA7" s="235" t="str">
        <f>+MID(INDEX(WORLDCUP!$AF$101:$AF$147,MATCH(Y7,WORLDCUP!$Z$101:$Z$147,0)),1,IF(WORLDCUP!$H$113&lt;144,6,3))</f>
        <v>Jap</v>
      </c>
      <c r="AB7" s="236">
        <f>+IF(ISBLANK(INDEX(WORLDCUP!$AD$101:$AD$147,MATCH(Y7,WORLDCUP!$Z$101:$Z$147,0))),"",INDEX(WORLDCUP!$AD$101:$AD$147,MATCH(Y7,WORLDCUP!$Z$101:$Z$147,0)))</f>
        <v>1</v>
      </c>
      <c r="AC7" s="237" t="str">
        <f>+IF(ISBLANK(INDEX(WORLDCUP!$AE$101:$AE$147,MATCH(Y7,WORLDCUP!$Z$101:$Z$147,0))),"","( "&amp;INDEX(WORLDCUP!$AE$101:$AE$147,MATCH(Y7,WORLDCUP!$Z$101:$Z$147,0))&amp;" )")</f>
        <v/>
      </c>
      <c r="AD7" s="31"/>
      <c r="AE7" s="229"/>
      <c r="AF7" s="229"/>
      <c r="AG7" s="230"/>
      <c r="AH7" s="210">
        <v>97</v>
      </c>
      <c r="AI7" s="238" t="str">
        <f>+MID(INDEX(WORLDCUP!$AA$101:$AA$147,MATCH(AH7,WORLDCUP!$Z$101:$Z$147,0)),1,3)</f>
        <v>Fra</v>
      </c>
      <c r="AJ7" s="239">
        <f>+IF(ISBLANK(INDEX(WORLDCUP!$AC$101:$AC$147,MATCH(AH7,WORLDCUP!$Z$101:$Z$147,0))),"",INDEX(WORLDCUP!$AC$101:$AC$147,MATCH(AH7,WORLDCUP!$Z$101:$Z$147,0)))</f>
        <v>4</v>
      </c>
      <c r="AK7" s="240" t="str">
        <f>+IF(ISBLANK(INDEX(WORLDCUP!$AB$101:$AB$147,MATCH(AH7,WORLDCUP!$Z$101:$Z$147,0))),"","( "&amp;INDEX(WORLDCUP!$AB$101:$AB$147,MATCH(AH7,WORLDCUP!$Z$101:$Z$147,0))&amp;" )")</f>
        <v/>
      </c>
      <c r="AL7" s="170"/>
      <c r="AM7" s="186"/>
      <c r="AN7" s="186"/>
      <c r="AO7" s="186"/>
      <c r="AP7" s="31"/>
      <c r="AQ7" s="215"/>
      <c r="AR7" s="215"/>
      <c r="AS7" s="215"/>
      <c r="AT7" s="31"/>
      <c r="AU7" s="188"/>
      <c r="AV7" s="188"/>
      <c r="AW7" s="188"/>
      <c r="AX7" s="31"/>
      <c r="AY7" s="28"/>
      <c r="AZ7" s="28"/>
      <c r="BA7" s="28"/>
      <c r="BB7" s="28"/>
      <c r="BC7" s="28"/>
      <c r="BD7" s="28"/>
      <c r="BE7" s="28"/>
      <c r="BG7" s="217" t="str">
        <f>Horarios!Q6</f>
        <v>Austria</v>
      </c>
      <c r="BH7" s="218">
        <f t="shared" si="0"/>
        <v>0</v>
      </c>
      <c r="BI7" s="218">
        <f>COUNTIF(Pool!$C$130:$C$161,Fixture!BG7)-BJ7-BK7-BL7-BM7-BN7-BO7</f>
        <v>1</v>
      </c>
      <c r="BJ7" s="219">
        <f>COUNTIF(Pool!$C$182:$C$197,Fixture!BG7)-BK7-BL7-BM7-BN7-BO7</f>
        <v>0</v>
      </c>
      <c r="BK7" s="220">
        <f>COUNTIF(Pool!$C$210:$C$217,Fixture!BG7)-BL7-BM7-BN7-BO7</f>
        <v>0</v>
      </c>
      <c r="BL7" s="220">
        <f>COUNTIF(Pool!$C$226:$C$229,Fixture!BG7)-BM7-BN7-BO7</f>
        <v>0</v>
      </c>
      <c r="BM7" s="218">
        <f>COUNTIF(Pool!$C$252,Fixture!BG7)</f>
        <v>0</v>
      </c>
      <c r="BN7" s="218">
        <f>COUNTIF(Pool!$C$251,Fixture!BG7)</f>
        <v>0</v>
      </c>
      <c r="BO7" s="221">
        <f>COUNTIF(Pool!$C$250,Fixture!BG7)</f>
        <v>0</v>
      </c>
    </row>
    <row r="8" spans="1:67" ht="16.149999999999999" customHeight="1" thickBot="1">
      <c r="A8" s="31">
        <v>54</v>
      </c>
      <c r="B8" s="241"/>
      <c r="C8" s="242" t="str">
        <f>+MID(INDEX(WORLDCUP!$AA$4:$AA$147,MATCH(A8,WORLDCUP!$AH$4:$AH$147,0)),1,3)</f>
        <v>Sou</v>
      </c>
      <c r="D8" s="243">
        <f>IF(ISBLANK(INDEX(WORLDCUP!$AC$4:$AC$147,MATCH(A8,WORLDCUP!$AH$4:$AH$147,0))),"",INDEX(WORLDCUP!$AC$4:$AC$147,MATCH(A8,WORLDCUP!$AH$4:$AH$147,0)))</f>
        <v>0</v>
      </c>
      <c r="E8" s="243">
        <f>IF(ISBLANK(INDEX(WORLDCUP!$AD$4:$AD$147,MATCH(A8,WORLDCUP!$AH$4:$AH$147,0))),"",INDEX(WORLDCUP!$AD$4:$AD$147,MATCH(A8,WORLDCUP!$AH$4:$AH$147,0)))</f>
        <v>2</v>
      </c>
      <c r="F8" s="244" t="str">
        <f>+MID(INDEX(WORLDCUP!$AF$4:$AF$147,MATCH(A8,WORLDCUP!$AH$4:$AH$147,0)),1,3)</f>
        <v>Sou</v>
      </c>
      <c r="G8" s="245"/>
      <c r="H8" s="245"/>
      <c r="I8" s="246"/>
      <c r="J8" s="246"/>
      <c r="K8" s="247"/>
      <c r="L8" s="31"/>
      <c r="M8" s="31">
        <v>64</v>
      </c>
      <c r="N8" s="248"/>
      <c r="O8" s="242" t="str">
        <f>+MID(INDEX(WORLDCUP!$AA$4:$AA$147,MATCH(M8,WORLDCUP!$AH$4:$AH$147,0)),1,3)</f>
        <v>New</v>
      </c>
      <c r="P8" s="243">
        <f>IF(ISBLANK(INDEX(WORLDCUP!$AC$4:$AC$147,MATCH(M8,WORLDCUP!$AH$4:$AH$147,0))),"",INDEX(WORLDCUP!$AC$4:$AC$147,MATCH(M8,WORLDCUP!$AH$4:$AH$147,0)))</f>
        <v>0</v>
      </c>
      <c r="Q8" s="243">
        <f>IF(ISBLANK(INDEX(WORLDCUP!$AD$4:$AD$147,MATCH(M8,WORLDCUP!$AH$4:$AH$147,0))),"",INDEX(WORLDCUP!$AD$4:$AD$147,MATCH(M8,WORLDCUP!$AH$4:$AH$147,0)))</f>
        <v>2</v>
      </c>
      <c r="R8" s="244" t="str">
        <f>+MID(INDEX(WORLDCUP!$AF$4:$AF$147,MATCH(M8,WORLDCUP!$AH$4:$AH$147,0)),1,3)</f>
        <v>Bel</v>
      </c>
      <c r="S8" s="245"/>
      <c r="T8" s="245"/>
      <c r="U8" s="246"/>
      <c r="V8" s="246"/>
      <c r="W8" s="247"/>
      <c r="X8" s="31"/>
      <c r="Y8" s="31"/>
      <c r="Z8" s="180"/>
      <c r="AA8" s="249"/>
      <c r="AB8" s="249"/>
      <c r="AC8" s="249"/>
      <c r="AD8" s="31"/>
      <c r="AE8" s="184"/>
      <c r="AF8" s="184"/>
      <c r="AG8" s="230"/>
      <c r="AH8" s="31">
        <v>97</v>
      </c>
      <c r="AI8" s="238" t="str">
        <f>+MID(INDEX(WORLDCUP!$AF$101:$AF$147,MATCH(AH8,WORLDCUP!$Z$101:$Z$147,0)),1,3)</f>
        <v>Net</v>
      </c>
      <c r="AJ8" s="239">
        <f>+IF(ISBLANK(INDEX(WORLDCUP!$AD$101:$AD$147,MATCH(AH8,WORLDCUP!$Z$101:$Z$147,0))),"",INDEX(WORLDCUP!$AD$101:$AD$147,MATCH(AH8,WORLDCUP!$Z$101:$Z$147,0)))</f>
        <v>1</v>
      </c>
      <c r="AK8" s="250" t="str">
        <f>+IF(ISBLANK(INDEX(WORLDCUP!$AE$101:$AE$147,MATCH(AH8,WORLDCUP!$Z$101:$Z$147,0))),"","( "&amp;INDEX(WORLDCUP!$AE$101:$AE$147,MATCH(AH8,WORLDCUP!$Z$101:$Z$147,0))&amp;" )")</f>
        <v/>
      </c>
      <c r="AL8" s="170"/>
      <c r="AM8" s="186"/>
      <c r="AN8" s="186"/>
      <c r="AO8" s="186"/>
      <c r="AP8" s="31"/>
      <c r="AQ8" s="215"/>
      <c r="AR8" s="215"/>
      <c r="AS8" s="215"/>
      <c r="AT8" s="31"/>
      <c r="AU8" s="188"/>
      <c r="AV8" s="188"/>
      <c r="AW8" s="188"/>
      <c r="AX8" s="31"/>
      <c r="AY8" s="28"/>
      <c r="AZ8" s="28"/>
      <c r="BA8" s="28"/>
      <c r="BB8" s="28"/>
      <c r="BC8" s="28"/>
      <c r="BD8" s="28"/>
      <c r="BE8" s="28"/>
      <c r="BG8" s="217" t="str">
        <f>Horarios!Q7</f>
        <v>Belgium</v>
      </c>
      <c r="BH8" s="218">
        <f t="shared" si="0"/>
        <v>0</v>
      </c>
      <c r="BI8" s="218">
        <f>COUNTIF(Pool!$C$130:$C$161,Fixture!BG8)-BJ8-BK8-BL8-BM8-BN8-BO8</f>
        <v>0</v>
      </c>
      <c r="BJ8" s="219">
        <f>COUNTIF(Pool!$C$182:$C$197,Fixture!BG8)-BK8-BL8-BM8-BN8-BO8</f>
        <v>0</v>
      </c>
      <c r="BK8" s="220">
        <f>COUNTIF(Pool!$C$210:$C$217,Fixture!BG8)-BL8-BM8-BN8-BO8</f>
        <v>1</v>
      </c>
      <c r="BL8" s="220">
        <f>COUNTIF(Pool!$C$226:$C$229,Fixture!BG8)-BM8-BN8-BO8</f>
        <v>0</v>
      </c>
      <c r="BM8" s="218">
        <f>COUNTIF(Pool!$C$252,Fixture!BG8)</f>
        <v>0</v>
      </c>
      <c r="BN8" s="218">
        <f>COUNTIF(Pool!$C$251,Fixture!BG8)</f>
        <v>0</v>
      </c>
      <c r="BO8" s="221">
        <f>COUNTIF(Pool!$C$250,Fixture!BG8)</f>
        <v>0</v>
      </c>
    </row>
    <row r="9" spans="1:67" ht="16.149999999999999" customHeight="1" thickBot="1">
      <c r="A9" s="31"/>
      <c r="B9" s="166"/>
      <c r="C9" s="251"/>
      <c r="D9" s="252"/>
      <c r="E9" s="252"/>
      <c r="F9" s="28"/>
      <c r="G9" s="28"/>
      <c r="H9" s="251"/>
      <c r="I9" s="28"/>
      <c r="J9" s="28"/>
      <c r="K9" s="28"/>
      <c r="L9" s="31"/>
      <c r="M9" s="31"/>
      <c r="N9" s="27"/>
      <c r="O9" s="251"/>
      <c r="P9" s="252"/>
      <c r="Q9" s="252"/>
      <c r="R9" s="28"/>
      <c r="S9" s="28"/>
      <c r="T9" s="251"/>
      <c r="U9" s="28"/>
      <c r="V9" s="28"/>
      <c r="W9" s="28"/>
      <c r="X9" s="31"/>
      <c r="Y9" s="31">
        <v>73</v>
      </c>
      <c r="Z9" s="180" t="s">
        <v>75</v>
      </c>
      <c r="AA9" s="181" t="str">
        <f>+MID(INDEX(WORLDCUP!$AA$101:$AA$147,MATCH(Y9,WORLDCUP!$Z$101:$Z$147,0)),1,3)</f>
        <v>Sou</v>
      </c>
      <c r="AB9" s="182">
        <f>+IF(ISBLANK(INDEX(WORLDCUP!$AC$101:$AC$147,MATCH(Y9,WORLDCUP!$Z$101:$Z$147,0))),"",INDEX(WORLDCUP!$AC$101:$AC$147,MATCH(Y9,WORLDCUP!$Z$101:$Z$147,0)))</f>
        <v>3</v>
      </c>
      <c r="AC9" s="253" t="str">
        <f>+IF(ISBLANK(INDEX(WORLDCUP!$AB$101:$AB$147,MATCH(Y9,WORLDCUP!$Z$101:$Z$147,0))),"","( "&amp;INDEX(WORLDCUP!$AB$101:$AB$147,MATCH(Y9,WORLDCUP!$Z$101:$Z$147,0))&amp;" )")</f>
        <v/>
      </c>
      <c r="AD9" s="30"/>
      <c r="AE9" s="184"/>
      <c r="AF9" s="184"/>
      <c r="AG9" s="230"/>
      <c r="AH9" s="31"/>
      <c r="AI9" s="214"/>
      <c r="AJ9" s="214"/>
      <c r="AK9" s="254"/>
      <c r="AL9" s="170"/>
      <c r="AM9" s="186"/>
      <c r="AN9" s="186"/>
      <c r="AO9" s="186"/>
      <c r="AP9" s="31"/>
      <c r="AQ9" s="215"/>
      <c r="AR9" s="215"/>
      <c r="AS9" s="215"/>
      <c r="AT9" s="31"/>
      <c r="AU9" s="188"/>
      <c r="AV9" s="188"/>
      <c r="AW9" s="188"/>
      <c r="AX9" s="31"/>
      <c r="AY9" s="28"/>
      <c r="AZ9" s="28"/>
      <c r="BA9" s="28"/>
      <c r="BB9" s="28"/>
      <c r="BC9" s="28"/>
      <c r="BD9" s="28"/>
      <c r="BE9" s="28"/>
      <c r="BG9" s="217" t="str">
        <f>Horarios!Q8</f>
        <v>Bosnia and Herzegovina</v>
      </c>
      <c r="BH9" s="218">
        <f t="shared" si="0"/>
        <v>0</v>
      </c>
      <c r="BI9" s="218">
        <f>COUNTIF(Pool!$C$130:$C$161,Fixture!BG9)-BJ9-BK9-BL9-BM9-BN9-BO9</f>
        <v>1</v>
      </c>
      <c r="BJ9" s="219">
        <f>COUNTIF(Pool!$C$182:$C$197,Fixture!BG9)-BK9-BL9-BM9-BN9-BO9</f>
        <v>0</v>
      </c>
      <c r="BK9" s="220">
        <f>COUNTIF(Pool!$C$210:$C$217,Fixture!BG9)-BL9-BM9-BN9-BO9</f>
        <v>0</v>
      </c>
      <c r="BL9" s="220">
        <f>COUNTIF(Pool!$C$226:$C$229,Fixture!BG9)-BM9-BN9-BO9</f>
        <v>0</v>
      </c>
      <c r="BM9" s="218">
        <f>COUNTIF(Pool!$C$252,Fixture!BG9)</f>
        <v>0</v>
      </c>
      <c r="BN9" s="218">
        <f>COUNTIF(Pool!$C$251,Fixture!BG9)</f>
        <v>0</v>
      </c>
      <c r="BO9" s="221">
        <f>COUNTIF(Pool!$C$250,Fixture!BG9)</f>
        <v>0</v>
      </c>
    </row>
    <row r="10" spans="1:67" ht="16.149999999999999" customHeight="1" thickBot="1">
      <c r="A10" s="31"/>
      <c r="B10" s="166"/>
      <c r="C10" s="251"/>
      <c r="D10" s="252"/>
      <c r="E10" s="252"/>
      <c r="F10" s="28"/>
      <c r="G10" s="28"/>
      <c r="H10" s="251"/>
      <c r="I10" s="28"/>
      <c r="J10" s="28"/>
      <c r="K10" s="28"/>
      <c r="L10" s="31"/>
      <c r="M10" s="31"/>
      <c r="N10" s="27"/>
      <c r="O10" s="251"/>
      <c r="P10" s="252"/>
      <c r="Q10" s="252"/>
      <c r="R10" s="28"/>
      <c r="S10" s="28"/>
      <c r="T10" s="251"/>
      <c r="U10" s="28"/>
      <c r="V10" s="28"/>
      <c r="W10" s="28"/>
      <c r="X10" s="31"/>
      <c r="Y10" s="31">
        <v>73</v>
      </c>
      <c r="Z10" s="180" t="s">
        <v>79</v>
      </c>
      <c r="AA10" s="181" t="str">
        <f>+MID(INDEX(WORLDCUP!$AF$101:$AF$147,MATCH(Y10,WORLDCUP!$Z$101:$Z$147,0)),1,3)</f>
        <v>Can</v>
      </c>
      <c r="AB10" s="208">
        <f>+IF(ISBLANK(INDEX(WORLDCUP!$AD$101:$AD$147,MATCH(Y10,WORLDCUP!$Z$101:$Z$147,0))),"",INDEX(WORLDCUP!$AD$101:$AD$147,MATCH(Y10,WORLDCUP!$Z$101:$Z$147,0)))</f>
        <v>1</v>
      </c>
      <c r="AC10" s="209" t="str">
        <f>+IF(ISBLANK(INDEX(WORLDCUP!$AE$101:$AE$147,MATCH(Y10,WORLDCUP!$Z$101:$Z$147,0))),"","( "&amp;INDEX(WORLDCUP!$AE$101:$AE$147,MATCH(Y10,WORLDCUP!$Z$101:$Z$147,0))&amp;" )")</f>
        <v/>
      </c>
      <c r="AD10" s="255">
        <v>90</v>
      </c>
      <c r="AE10" s="211" t="str">
        <f>+MID(INDEX(WORLDCUP!$AA$101:$AA$147,MATCH(AD10,WORLDCUP!$Z$101:$Z$147,0)),1,3)</f>
        <v>Sou</v>
      </c>
      <c r="AF10" s="212">
        <f>+IF(ISBLANK(INDEX(WORLDCUP!$AC$101:$AC$147,MATCH(AD10,WORLDCUP!$Z$101:$Z$147,0))),"",INDEX(WORLDCUP!$AC$101:$AC$147,MATCH(AD10,WORLDCUP!$Z$101:$Z$147,0)))</f>
        <v>2</v>
      </c>
      <c r="AG10" s="256" t="str">
        <f>+IF(ISBLANK(INDEX(WORLDCUP!$AB$101:$AB$147,MATCH(AD10,WORLDCUP!$Z$101:$Z$147,0))),"","( "&amp;INDEX(WORLDCUP!$AB$101:$AB$147,MATCH(AD10,WORLDCUP!$Z$101:$Z$147,0))&amp;" )")</f>
        <v/>
      </c>
      <c r="AH10" s="31"/>
      <c r="AI10" s="214"/>
      <c r="AJ10" s="214"/>
      <c r="AK10" s="254"/>
      <c r="AL10" s="170"/>
      <c r="AM10" s="186"/>
      <c r="AN10" s="186"/>
      <c r="AO10" s="186"/>
      <c r="AP10" s="31"/>
      <c r="AQ10" s="215"/>
      <c r="AR10" s="215"/>
      <c r="AS10" s="215"/>
      <c r="AT10" s="31"/>
      <c r="AU10" s="188"/>
      <c r="AV10" s="188"/>
      <c r="AW10" s="188"/>
      <c r="AX10" s="31"/>
      <c r="AY10" s="28"/>
      <c r="AZ10" s="27"/>
      <c r="BA10" s="27"/>
      <c r="BB10" s="26"/>
      <c r="BC10" s="251"/>
      <c r="BD10" s="252"/>
      <c r="BE10" s="252"/>
      <c r="BF10" s="2"/>
      <c r="BG10" s="217" t="str">
        <f>Horarios!Q9</f>
        <v>Brazil</v>
      </c>
      <c r="BH10" s="218">
        <f t="shared" si="0"/>
        <v>0</v>
      </c>
      <c r="BI10" s="218">
        <f>COUNTIF(Pool!$C$130:$C$161,Fixture!BG10)-BJ10-BK10-BL10-BM10-BN10-BO10</f>
        <v>0</v>
      </c>
      <c r="BJ10" s="219">
        <f>COUNTIF(Pool!$C$182:$C$197,Fixture!BG10)-BK10-BL10-BM10-BN10-BO10</f>
        <v>1</v>
      </c>
      <c r="BK10" s="220">
        <f>COUNTIF(Pool!$C$210:$C$217,Fixture!BG10)-BL10-BM10-BN10-BO10</f>
        <v>0</v>
      </c>
      <c r="BL10" s="220">
        <f>COUNTIF(Pool!$C$226:$C$229,Fixture!BG10)-BM10-BN10-BO10</f>
        <v>0</v>
      </c>
      <c r="BM10" s="218">
        <f>COUNTIF(Pool!$C$252,Fixture!BG10)</f>
        <v>0</v>
      </c>
      <c r="BN10" s="218">
        <f>COUNTIF(Pool!$C$251,Fixture!BG10)</f>
        <v>0</v>
      </c>
      <c r="BO10" s="221">
        <f>COUNTIF(Pool!$C$250,Fixture!BG10)</f>
        <v>0</v>
      </c>
    </row>
    <row r="11" spans="1:67">
      <c r="A11" s="31">
        <v>3</v>
      </c>
      <c r="B11" s="257" t="s">
        <v>80</v>
      </c>
      <c r="C11" s="172" t="str">
        <f>+MID(INDEX(WORLDCUP!$AA$4:$AA$147,MATCH(A11,WORLDCUP!$AH$4:$AH$147,0)),1,3)</f>
        <v>Can</v>
      </c>
      <c r="D11" s="173">
        <f>IF(ISBLANK(INDEX(WORLDCUP!$AC$4:$AC$147,MATCH(A11,WORLDCUP!$AH$4:$AH$147,0))),"",INDEX(WORLDCUP!$AC$4:$AC$147,MATCH(A11,WORLDCUP!$AH$4:$AH$147,0)))</f>
        <v>2</v>
      </c>
      <c r="E11" s="173">
        <f>IF(ISBLANK(INDEX(WORLDCUP!$AD$4:$AD$147,MATCH(A11,WORLDCUP!$AH$4:$AH$147,0))),"",INDEX(WORLDCUP!$AD$4:$AD$147,MATCH(A11,WORLDCUP!$AH$4:$AH$147,0)))</f>
        <v>0</v>
      </c>
      <c r="F11" s="174" t="str">
        <f>+MID(INDEX(WORLDCUP!$AF$4:$AF$147,MATCH(A11,WORLDCUP!$AH$4:$AH$147,0)),1,3)</f>
        <v>Bos</v>
      </c>
      <c r="G11" s="175"/>
      <c r="H11" s="176" t="str">
        <f>+H3</f>
        <v>Nat</v>
      </c>
      <c r="I11" s="177" t="str">
        <f>+I3</f>
        <v>Pts</v>
      </c>
      <c r="J11" s="177" t="str">
        <f>+J3</f>
        <v>GD</v>
      </c>
      <c r="K11" s="178" t="str">
        <f>+K3</f>
        <v>F-A</v>
      </c>
      <c r="L11" s="31"/>
      <c r="M11" s="31">
        <v>14</v>
      </c>
      <c r="N11" s="258" t="s">
        <v>130</v>
      </c>
      <c r="O11" s="172" t="str">
        <f>+MID(INDEX(WORLDCUP!$AA$4:$AA$147,MATCH(M11,WORLDCUP!$AH$4:$AH$147,0)),1,3)</f>
        <v>Spa</v>
      </c>
      <c r="P11" s="173">
        <f>IF(ISBLANK(INDEX(WORLDCUP!$AC$4:$AC$147,MATCH(M11,WORLDCUP!$AH$4:$AH$147,0))),"",INDEX(WORLDCUP!$AC$4:$AC$147,MATCH(M11,WORLDCUP!$AH$4:$AH$147,0)))</f>
        <v>3</v>
      </c>
      <c r="Q11" s="173">
        <f>IF(ISBLANK(INDEX(WORLDCUP!$AD$4:$AD$147,MATCH(M11,WORLDCUP!$AH$4:$AH$147,0))),"",INDEX(WORLDCUP!$AD$4:$AD$147,MATCH(M11,WORLDCUP!$AH$4:$AH$147,0)))</f>
        <v>0</v>
      </c>
      <c r="R11" s="174" t="str">
        <f>+MID(INDEX(WORLDCUP!$AF$4:$AF$147,MATCH(M11,WORLDCUP!$AH$4:$AH$147,0)),1,3)</f>
        <v>Cap</v>
      </c>
      <c r="S11" s="175"/>
      <c r="T11" s="176" t="str">
        <f>+T3</f>
        <v>Nat</v>
      </c>
      <c r="U11" s="177" t="str">
        <f>+U3</f>
        <v>Pts</v>
      </c>
      <c r="V11" s="177" t="str">
        <f>+V3</f>
        <v>GD</v>
      </c>
      <c r="W11" s="178" t="str">
        <f>+W3</f>
        <v>F-A</v>
      </c>
      <c r="X11" s="31"/>
      <c r="Y11" s="31"/>
      <c r="Z11" s="180"/>
      <c r="AA11" s="224"/>
      <c r="AB11" s="224"/>
      <c r="AC11" s="225"/>
      <c r="AD11" s="31">
        <v>90</v>
      </c>
      <c r="AE11" s="211" t="str">
        <f>+MID(INDEX(WORLDCUP!$AF$101:$AF$147,MATCH(AD11,WORLDCUP!$Z$101:$Z$147,0)),1,3)</f>
        <v>Net</v>
      </c>
      <c r="AF11" s="212">
        <f>+IF(ISBLANK(INDEX(WORLDCUP!$AD$101:$AD$147,MATCH(AD11,WORLDCUP!$Z$101:$Z$147,0))),"",INDEX(WORLDCUP!$AD$101:$AD$147,MATCH(AD11,WORLDCUP!$Z$101:$Z$147,0)))</f>
        <v>4</v>
      </c>
      <c r="AG11" s="229" t="str">
        <f>+IF(ISBLANK(INDEX(WORLDCUP!$AE$101:$AE$147,MATCH(AD11,WORLDCUP!$Z$101:$Z$147,0))),"","( "&amp;INDEX(WORLDCUP!$AE$101:$AE$147,MATCH(AD11,WORLDCUP!$Z$101:$Z$147,0))&amp;" )")</f>
        <v/>
      </c>
      <c r="AH11" s="31"/>
      <c r="AI11" s="214"/>
      <c r="AJ11" s="214"/>
      <c r="AK11" s="254"/>
      <c r="AL11" s="170"/>
      <c r="AM11" s="186"/>
      <c r="AN11" s="186"/>
      <c r="AO11" s="186"/>
      <c r="AP11" s="31"/>
      <c r="AQ11" s="215"/>
      <c r="AR11" s="215"/>
      <c r="AS11" s="215"/>
      <c r="AT11" s="31"/>
      <c r="AU11" s="188"/>
      <c r="AV11" s="188"/>
      <c r="AW11" s="188"/>
      <c r="AX11" s="31"/>
      <c r="AY11" s="28"/>
      <c r="AZ11" s="28"/>
      <c r="BA11" s="28"/>
      <c r="BB11" s="28"/>
      <c r="BC11" s="28"/>
      <c r="BD11" s="28"/>
      <c r="BE11" s="28"/>
      <c r="BG11" s="217" t="str">
        <f>Horarios!Q10</f>
        <v>Canada</v>
      </c>
      <c r="BH11" s="218">
        <f t="shared" si="0"/>
        <v>0</v>
      </c>
      <c r="BI11" s="218">
        <f>COUNTIF(Pool!$C$130:$C$161,Fixture!BG11)-BJ11-BK11-BL11-BM11-BN11-BO11</f>
        <v>1</v>
      </c>
      <c r="BJ11" s="219">
        <f>COUNTIF(Pool!$C$182:$C$197,Fixture!BG11)-BK11-BL11-BM11-BN11-BO11</f>
        <v>0</v>
      </c>
      <c r="BK11" s="220">
        <f>COUNTIF(Pool!$C$210:$C$217,Fixture!BG11)-BL11-BM11-BN11-BO11</f>
        <v>0</v>
      </c>
      <c r="BL11" s="220">
        <f>COUNTIF(Pool!$C$226:$C$229,Fixture!BG11)-BM11-BN11-BO11</f>
        <v>0</v>
      </c>
      <c r="BM11" s="218">
        <f>COUNTIF(Pool!$C$252,Fixture!BG11)</f>
        <v>0</v>
      </c>
      <c r="BN11" s="218">
        <f>COUNTIF(Pool!$C$251,Fixture!BG11)</f>
        <v>0</v>
      </c>
      <c r="BO11" s="221">
        <f>COUNTIF(Pool!$C$250,Fixture!BG11)</f>
        <v>0</v>
      </c>
    </row>
    <row r="12" spans="1:67" ht="16.149999999999999" customHeight="1" thickBot="1">
      <c r="A12" s="31">
        <v>8</v>
      </c>
      <c r="B12" s="259"/>
      <c r="C12" s="199" t="str">
        <f>+MID(INDEX(WORLDCUP!$AA$4:$AA$147,MATCH(A12,WORLDCUP!$AH$4:$AH$147,0)),1,3)</f>
        <v>Qat</v>
      </c>
      <c r="D12" s="200">
        <f>IF(ISBLANK(INDEX(WORLDCUP!$AC$4:$AC$147,MATCH(A12,WORLDCUP!$AH$4:$AH$147,0))),"",INDEX(WORLDCUP!$AC$4:$AC$147,MATCH(A12,WORLDCUP!$AH$4:$AH$147,0)))</f>
        <v>0</v>
      </c>
      <c r="E12" s="200">
        <f>IF(ISBLANK(INDEX(WORLDCUP!$AD$4:$AD$147,MATCH(A12,WORLDCUP!$AH$4:$AH$147,0))),"",INDEX(WORLDCUP!$AD$4:$AD$147,MATCH(A12,WORLDCUP!$AH$4:$AH$147,0)))</f>
        <v>1</v>
      </c>
      <c r="F12" s="201" t="str">
        <f>+MID(INDEX(WORLDCUP!$AF$4:$AF$147,MATCH(A12,WORLDCUP!$AH$4:$AH$147,0)),1,3)</f>
        <v>Swi</v>
      </c>
      <c r="G12" s="202">
        <v>1</v>
      </c>
      <c r="H12" s="203" t="str">
        <f>+MID(INDEX(WORLDCUP!$AL$6:$AL$97,MATCH(L12,WORLDCUP!$AI$6:$AI$97,0)),1,3)</f>
        <v>Swi</v>
      </c>
      <c r="I12" s="204">
        <f>+INDEX(WORLDCUP!$AM$6:$AM$97,MATCH(L12,WORLDCUP!$AI$6:$AI$97,0))</f>
        <v>9</v>
      </c>
      <c r="J12" s="205">
        <f>+INDEX(WORLDCUP!$AT$6:$AT$97,MATCH(L12,WORLDCUP!$AI$6:$AI$97,0))</f>
        <v>5</v>
      </c>
      <c r="K12" s="206" t="str">
        <f>+INDEX(WORLDCUP!$AR$6:$AR$97,MATCH(L12,WORLDCUP!$AI$6:$AI$97,0))&amp;"-"&amp;INDEX(WORLDCUP!$AS$6:$AS$97,MATCH(L12,WORLDCUP!$AI$6:$AI$97,0))</f>
        <v>5-0</v>
      </c>
      <c r="L12" s="31" t="s">
        <v>78</v>
      </c>
      <c r="M12" s="31">
        <v>13</v>
      </c>
      <c r="N12" s="260"/>
      <c r="O12" s="199" t="str">
        <f>+MID(INDEX(WORLDCUP!$AA$4:$AA$147,MATCH(M12,WORLDCUP!$AH$4:$AH$147,0)),1,3)</f>
        <v>Sau</v>
      </c>
      <c r="P12" s="200">
        <f>IF(ISBLANK(INDEX(WORLDCUP!$AC$4:$AC$147,MATCH(M12,WORLDCUP!$AH$4:$AH$147,0))),"",INDEX(WORLDCUP!$AC$4:$AC$147,MATCH(M12,WORLDCUP!$AH$4:$AH$147,0)))</f>
        <v>1</v>
      </c>
      <c r="Q12" s="200">
        <f>IF(ISBLANK(INDEX(WORLDCUP!$AD$4:$AD$147,MATCH(M12,WORLDCUP!$AH$4:$AH$147,0))),"",INDEX(WORLDCUP!$AD$4:$AD$147,MATCH(M12,WORLDCUP!$AH$4:$AH$147,0)))</f>
        <v>2</v>
      </c>
      <c r="R12" s="201" t="str">
        <f>+MID(INDEX(WORLDCUP!$AF$4:$AF$147,MATCH(M12,WORLDCUP!$AH$4:$AH$147,0)),1,3)</f>
        <v>Uru</v>
      </c>
      <c r="S12" s="202">
        <v>1</v>
      </c>
      <c r="T12" s="203" t="str">
        <f>+MID(INDEX(WORLDCUP!$AL$6:$AL$97,MATCH(X12,WORLDCUP!$AI$6:$AI$97,0)),1,3)</f>
        <v>Spa</v>
      </c>
      <c r="U12" s="204">
        <f>+INDEX(WORLDCUP!$AM$6:$AM$97,MATCH(X12,WORLDCUP!$AI$6:$AI$97,0))</f>
        <v>9</v>
      </c>
      <c r="V12" s="205">
        <f>+INDEX(WORLDCUP!$AT$6:$AT$97,MATCH(X12,WORLDCUP!$AI$6:$AI$97,0))</f>
        <v>8</v>
      </c>
      <c r="W12" s="206" t="str">
        <f>+INDEX(WORLDCUP!$AR$6:$AR$97,MATCH(X12,WORLDCUP!$AI$6:$AI$97,0))&amp;"-"&amp;INDEX(WORLDCUP!$AS$6:$AS$97,MATCH(X12,WORLDCUP!$AI$6:$AI$97,0))</f>
        <v>9-1</v>
      </c>
      <c r="X12" s="31" t="s">
        <v>105</v>
      </c>
      <c r="Y12" s="31">
        <v>75</v>
      </c>
      <c r="Z12" s="180" t="s">
        <v>96</v>
      </c>
      <c r="AA12" s="181" t="str">
        <f>+MID(INDEX(WORLDCUP!$AA$101:$AA$147,MATCH(Y12,WORLDCUP!$Z$101:$Z$147,0)),1,3)</f>
        <v>Net</v>
      </c>
      <c r="AB12" s="227">
        <f>+IF(ISBLANK(INDEX(WORLDCUP!$AC$101:$AC$147,MATCH(Y12,WORLDCUP!$Z$101:$Z$147,0))),"",INDEX(WORLDCUP!$AC$101:$AC$147,MATCH(Y12,WORLDCUP!$Z$101:$Z$147,0)))</f>
        <v>3</v>
      </c>
      <c r="AC12" s="261" t="str">
        <f>+IF(ISBLANK(INDEX(WORLDCUP!$AB$101:$AB$147,MATCH(Y12,WORLDCUP!$Z$101:$Z$147,0))),"","( "&amp;INDEX(WORLDCUP!$AB$101:$AB$147,MATCH(Y12,WORLDCUP!$Z$101:$Z$147,0))&amp;" )")</f>
        <v/>
      </c>
      <c r="AD12" s="31"/>
      <c r="AE12" s="184"/>
      <c r="AF12" s="184"/>
      <c r="AG12" s="184"/>
      <c r="AH12" s="31"/>
      <c r="AI12" s="214"/>
      <c r="AJ12" s="214"/>
      <c r="AK12" s="254"/>
      <c r="AL12" s="170"/>
      <c r="AM12" s="186"/>
      <c r="AN12" s="186"/>
      <c r="AO12" s="186"/>
      <c r="AP12" s="31"/>
      <c r="AQ12" s="215"/>
      <c r="AR12" s="215"/>
      <c r="AS12" s="215"/>
      <c r="AT12" s="31"/>
      <c r="AU12" s="188"/>
      <c r="AV12" s="188"/>
      <c r="AW12" s="188"/>
      <c r="AX12" s="31"/>
      <c r="AY12" s="28"/>
      <c r="AZ12" s="28"/>
      <c r="BA12" s="28"/>
      <c r="BB12" s="28"/>
      <c r="BC12" s="28"/>
      <c r="BD12" s="28"/>
      <c r="BE12" s="28"/>
      <c r="BG12" s="217" t="str">
        <f>Horarios!Q11</f>
        <v>Cape Verde</v>
      </c>
      <c r="BH12" s="218">
        <f t="shared" si="0"/>
        <v>1</v>
      </c>
      <c r="BI12" s="218">
        <f>COUNTIF(Pool!$C$130:$C$161,Fixture!BG12)-BJ12-BK12-BL12-BM12-BN12-BO12</f>
        <v>0</v>
      </c>
      <c r="BJ12" s="219">
        <f>COUNTIF(Pool!$C$182:$C$197,Fixture!BG12)-BK12-BL12-BM12-BN12-BO12</f>
        <v>0</v>
      </c>
      <c r="BK12" s="220">
        <f>COUNTIF(Pool!$C$210:$C$217,Fixture!BG12)-BL12-BM12-BN12-BO12</f>
        <v>0</v>
      </c>
      <c r="BL12" s="220">
        <f>COUNTIF(Pool!$C$226:$C$229,Fixture!BG12)-BM12-BN12-BO12</f>
        <v>0</v>
      </c>
      <c r="BM12" s="218">
        <f>COUNTIF(Pool!$C$252,Fixture!BG12)</f>
        <v>0</v>
      </c>
      <c r="BN12" s="218">
        <f>COUNTIF(Pool!$C$251,Fixture!BG12)</f>
        <v>0</v>
      </c>
      <c r="BO12" s="221">
        <f>COUNTIF(Pool!$C$250,Fixture!BG12)</f>
        <v>0</v>
      </c>
    </row>
    <row r="13" spans="1:67" ht="16.149999999999999" customHeight="1" thickBot="1">
      <c r="A13" s="31">
        <v>26</v>
      </c>
      <c r="B13" s="259"/>
      <c r="C13" s="199" t="str">
        <f>+MID(INDEX(WORLDCUP!$AA$4:$AA$147,MATCH(A13,WORLDCUP!$AH$4:$AH$147,0)),1,3)</f>
        <v>Swi</v>
      </c>
      <c r="D13" s="200">
        <f>IF(ISBLANK(INDEX(WORLDCUP!$AC$4:$AC$147,MATCH(A13,WORLDCUP!$AH$4:$AH$147,0))),"",INDEX(WORLDCUP!$AC$4:$AC$147,MATCH(A13,WORLDCUP!$AH$4:$AH$147,0)))</f>
        <v>2</v>
      </c>
      <c r="E13" s="200">
        <f>IF(ISBLANK(INDEX(WORLDCUP!$AD$4:$AD$147,MATCH(A13,WORLDCUP!$AH$4:$AH$147,0))),"",INDEX(WORLDCUP!$AD$4:$AD$147,MATCH(A13,WORLDCUP!$AH$4:$AH$147,0)))</f>
        <v>0</v>
      </c>
      <c r="F13" s="201" t="str">
        <f>+MID(INDEX(WORLDCUP!$AF$4:$AF$147,MATCH(A13,WORLDCUP!$AH$4:$AH$147,0)),1,3)</f>
        <v>Bos</v>
      </c>
      <c r="G13" s="222">
        <v>2</v>
      </c>
      <c r="H13" s="223" t="str">
        <f>+MID(INDEX(WORLDCUP!$AL$6:$AL$97,MATCH(L13,WORLDCUP!$AI$6:$AI$97,0)),1,3)</f>
        <v>Can</v>
      </c>
      <c r="I13" s="12">
        <f>+INDEX(WORLDCUP!$AM$6:$AM$97,MATCH(L13,WORLDCUP!$AI$6:$AI$97,0))</f>
        <v>6</v>
      </c>
      <c r="J13" s="13">
        <f>+INDEX(WORLDCUP!$AT$6:$AT$97,MATCH(L13,WORLDCUP!$AI$6:$AI$97,0))</f>
        <v>1</v>
      </c>
      <c r="K13" s="14" t="str">
        <f>+INDEX(WORLDCUP!$AR$6:$AR$97,MATCH(L13,WORLDCUP!$AI$6:$AI$97,0))&amp;"-"&amp;INDEX(WORLDCUP!$AS$6:$AS$97,MATCH(L13,WORLDCUP!$AI$6:$AI$97,0))</f>
        <v>3-2</v>
      </c>
      <c r="L13" s="31" t="s">
        <v>79</v>
      </c>
      <c r="M13" s="31">
        <v>38</v>
      </c>
      <c r="N13" s="260"/>
      <c r="O13" s="199" t="str">
        <f>+MID(INDEX(WORLDCUP!$AA$4:$AA$147,MATCH(M13,WORLDCUP!$AH$4:$AH$147,0)),1,3)</f>
        <v>Spa</v>
      </c>
      <c r="P13" s="200">
        <f>IF(ISBLANK(INDEX(WORLDCUP!$AC$4:$AC$147,MATCH(M13,WORLDCUP!$AH$4:$AH$147,0))),"",INDEX(WORLDCUP!$AC$4:$AC$147,MATCH(M13,WORLDCUP!$AH$4:$AH$147,0)))</f>
        <v>3</v>
      </c>
      <c r="Q13" s="200">
        <f>IF(ISBLANK(INDEX(WORLDCUP!$AD$4:$AD$147,MATCH(M13,WORLDCUP!$AH$4:$AH$147,0))),"",INDEX(WORLDCUP!$AD$4:$AD$147,MATCH(M13,WORLDCUP!$AH$4:$AH$147,0)))</f>
        <v>0</v>
      </c>
      <c r="R13" s="201" t="str">
        <f>+MID(INDEX(WORLDCUP!$AF$4:$AF$147,MATCH(M13,WORLDCUP!$AH$4:$AH$147,0)),1,3)</f>
        <v>Sau</v>
      </c>
      <c r="S13" s="222">
        <v>2</v>
      </c>
      <c r="T13" s="223" t="str">
        <f>+MID(INDEX(WORLDCUP!$AL$6:$AL$97,MATCH(X13,WORLDCUP!$AI$6:$AI$97,0)),1,3)</f>
        <v>Uru</v>
      </c>
      <c r="U13" s="12">
        <f>+INDEX(WORLDCUP!$AM$6:$AM$97,MATCH(X13,WORLDCUP!$AI$6:$AI$97,0))</f>
        <v>6</v>
      </c>
      <c r="V13" s="13">
        <f>+INDEX(WORLDCUP!$AT$6:$AT$97,MATCH(X13,WORLDCUP!$AI$6:$AI$97,0))</f>
        <v>1</v>
      </c>
      <c r="W13" s="14" t="str">
        <f>+INDEX(WORLDCUP!$AR$6:$AR$97,MATCH(X13,WORLDCUP!$AI$6:$AI$97,0))&amp;"-"&amp;INDEX(WORLDCUP!$AS$6:$AS$97,MATCH(X13,WORLDCUP!$AI$6:$AI$97,0))</f>
        <v>5-4</v>
      </c>
      <c r="X13" s="31" t="s">
        <v>106</v>
      </c>
      <c r="Y13" s="31">
        <v>75</v>
      </c>
      <c r="Z13" s="180" t="s">
        <v>84</v>
      </c>
      <c r="AA13" s="235" t="str">
        <f>+MID(INDEX(WORLDCUP!$AF$101:$AF$147,MATCH(Y13,WORLDCUP!$Z$101:$Z$147,0)),1,3)</f>
        <v>Mor</v>
      </c>
      <c r="AB13" s="236">
        <f>+IF(ISBLANK(INDEX(WORLDCUP!$AD$101:$AD$147,MATCH(Y13,WORLDCUP!$Z$101:$Z$147,0))),"",INDEX(WORLDCUP!$AD$101:$AD$147,MATCH(Y13,WORLDCUP!$Z$101:$Z$147,0)))</f>
        <v>2</v>
      </c>
      <c r="AC13" s="262" t="str">
        <f>+IF(ISBLANK(INDEX(WORLDCUP!$AE$101:$AE$147,MATCH(Y13,WORLDCUP!$Z$101:$Z$147,0))),"","( "&amp;INDEX(WORLDCUP!$AE$101:$AE$147,MATCH(Y13,WORLDCUP!$Z$101:$Z$147,0))&amp;" )")</f>
        <v/>
      </c>
      <c r="AD13" s="31"/>
      <c r="AE13" s="184"/>
      <c r="AF13" s="184"/>
      <c r="AG13" s="184"/>
      <c r="AH13" s="31"/>
      <c r="AI13" s="214"/>
      <c r="AJ13" s="214"/>
      <c r="AK13" s="254"/>
      <c r="AL13" s="255">
        <v>101</v>
      </c>
      <c r="AM13" s="263" t="str">
        <f>+MID(INDEX(WORLDCUP!$AA$101:$AA$147,MATCH(AL13,WORLDCUP!$Z$101:$Z$147,0)),1,3)</f>
        <v>Fra</v>
      </c>
      <c r="AN13" s="264">
        <f>+IF(ISBLANK(INDEX(WORLDCUP!$AC$101:$AC$147,MATCH(AL13,WORLDCUP!$Z$101:$Z$147,0))),"",INDEX(WORLDCUP!$AC$101:$AC$147,MATCH(AL13,WORLDCUP!$Z$101:$Z$147,0)))</f>
        <v>3</v>
      </c>
      <c r="AO13" s="265" t="str">
        <f>+IF(ISBLANK(INDEX(WORLDCUP!$AB$101:$AB$147,MATCH(AL13,WORLDCUP!$Z$101:$Z$147,0))),"","( "&amp;INDEX(WORLDCUP!$AB$101:$AB$147,MATCH(AL13,WORLDCUP!$Z$101:$Z$147,0))&amp;" )")</f>
        <v/>
      </c>
      <c r="AP13" s="31"/>
      <c r="AQ13" s="215"/>
      <c r="AR13" s="215"/>
      <c r="AS13" s="215"/>
      <c r="AT13" s="31"/>
      <c r="AU13" s="188"/>
      <c r="AV13" s="188"/>
      <c r="AW13" s="188"/>
      <c r="AX13" s="31"/>
      <c r="AY13" s="28"/>
      <c r="AZ13" s="28"/>
      <c r="BA13" s="28"/>
      <c r="BB13" s="28"/>
      <c r="BC13" s="28"/>
      <c r="BD13" s="28"/>
      <c r="BE13" s="28"/>
      <c r="BG13" s="217" t="str">
        <f>Horarios!Q12</f>
        <v>Colombia</v>
      </c>
      <c r="BH13" s="218">
        <f t="shared" si="0"/>
        <v>0</v>
      </c>
      <c r="BI13" s="218">
        <f>COUNTIF(Pool!$C$130:$C$161,Fixture!BG13)-BJ13-BK13-BL13-BM13-BN13-BO13</f>
        <v>1</v>
      </c>
      <c r="BJ13" s="219">
        <f>COUNTIF(Pool!$C$182:$C$197,Fixture!BG13)-BK13-BL13-BM13-BN13-BO13</f>
        <v>0</v>
      </c>
      <c r="BK13" s="220">
        <f>COUNTIF(Pool!$C$210:$C$217,Fixture!BG13)-BL13-BM13-BN13-BO13</f>
        <v>0</v>
      </c>
      <c r="BL13" s="220">
        <f>COUNTIF(Pool!$C$226:$C$229,Fixture!BG13)-BM13-BN13-BO13</f>
        <v>0</v>
      </c>
      <c r="BM13" s="218">
        <f>COUNTIF(Pool!$C$252,Fixture!BG13)</f>
        <v>0</v>
      </c>
      <c r="BN13" s="218">
        <f>COUNTIF(Pool!$C$251,Fixture!BG13)</f>
        <v>0</v>
      </c>
      <c r="BO13" s="221">
        <f>COUNTIF(Pool!$C$250,Fixture!BG13)</f>
        <v>0</v>
      </c>
    </row>
    <row r="14" spans="1:67">
      <c r="A14" s="31">
        <v>27</v>
      </c>
      <c r="B14" s="259"/>
      <c r="C14" s="199" t="str">
        <f>+MID(INDEX(WORLDCUP!$AA$4:$AA$147,MATCH(A14,WORLDCUP!$AH$4:$AH$147,0)),1,3)</f>
        <v>Can</v>
      </c>
      <c r="D14" s="200">
        <f>IF(ISBLANK(INDEX(WORLDCUP!$AC$4:$AC$147,MATCH(A14,WORLDCUP!$AH$4:$AH$147,0))),"",INDEX(WORLDCUP!$AC$4:$AC$147,MATCH(A14,WORLDCUP!$AH$4:$AH$147,0)))</f>
        <v>1</v>
      </c>
      <c r="E14" s="200">
        <f>IF(ISBLANK(INDEX(WORLDCUP!$AD$4:$AD$147,MATCH(A14,WORLDCUP!$AH$4:$AH$147,0))),"",INDEX(WORLDCUP!$AD$4:$AD$147,MATCH(A14,WORLDCUP!$AH$4:$AH$147,0)))</f>
        <v>0</v>
      </c>
      <c r="F14" s="201" t="str">
        <f>+MID(INDEX(WORLDCUP!$AF$4:$AF$147,MATCH(A14,WORLDCUP!$AH$4:$AH$147,0)),1,3)</f>
        <v>Qat</v>
      </c>
      <c r="G14" s="222">
        <v>3</v>
      </c>
      <c r="H14" s="223" t="str">
        <f>+MID(INDEX(WORLDCUP!$AL$6:$AL$97,MATCH(L14,WORLDCUP!$AI$6:$AI$97,0)),1,3)</f>
        <v>Bos</v>
      </c>
      <c r="I14" s="12">
        <f>+INDEX(WORLDCUP!$AM$6:$AM$97,MATCH(L14,WORLDCUP!$AI$6:$AI$97,0))</f>
        <v>3</v>
      </c>
      <c r="J14" s="13">
        <f>+INDEX(WORLDCUP!$AT$6:$AT$97,MATCH(L14,WORLDCUP!$AI$6:$AI$97,0))</f>
        <v>-3</v>
      </c>
      <c r="K14" s="14" t="str">
        <f>+INDEX(WORLDCUP!$AR$6:$AR$97,MATCH(L14,WORLDCUP!$AI$6:$AI$97,0))&amp;"-"&amp;INDEX(WORLDCUP!$AS$6:$AS$97,MATCH(L14,WORLDCUP!$AI$6:$AI$97,0))</f>
        <v>1-4</v>
      </c>
      <c r="L14" s="31" t="s">
        <v>81</v>
      </c>
      <c r="M14" s="31">
        <v>37</v>
      </c>
      <c r="N14" s="260"/>
      <c r="O14" s="199" t="str">
        <f>+MID(INDEX(WORLDCUP!$AA$4:$AA$147,MATCH(M14,WORLDCUP!$AH$4:$AH$147,0)),1,3)</f>
        <v>Uru</v>
      </c>
      <c r="P14" s="200">
        <f>IF(ISBLANK(INDEX(WORLDCUP!$AC$4:$AC$147,MATCH(M14,WORLDCUP!$AH$4:$AH$147,0))),"",INDEX(WORLDCUP!$AC$4:$AC$147,MATCH(M14,WORLDCUP!$AH$4:$AH$147,0)))</f>
        <v>2</v>
      </c>
      <c r="Q14" s="200">
        <f>IF(ISBLANK(INDEX(WORLDCUP!$AD$4:$AD$147,MATCH(M14,WORLDCUP!$AH$4:$AH$147,0))),"",INDEX(WORLDCUP!$AD$4:$AD$147,MATCH(M14,WORLDCUP!$AH$4:$AH$147,0)))</f>
        <v>0</v>
      </c>
      <c r="R14" s="201" t="str">
        <f>+MID(INDEX(WORLDCUP!$AF$4:$AF$147,MATCH(M14,WORLDCUP!$AH$4:$AH$147,0)),1,3)</f>
        <v>Cap</v>
      </c>
      <c r="S14" s="222">
        <v>3</v>
      </c>
      <c r="T14" s="223" t="str">
        <f>+MID(INDEX(WORLDCUP!$AL$6:$AL$97,MATCH(X14,WORLDCUP!$AI$6:$AI$97,0)),1,3)</f>
        <v>Sau</v>
      </c>
      <c r="U14" s="12">
        <f>+INDEX(WORLDCUP!$AM$6:$AM$97,MATCH(X14,WORLDCUP!$AI$6:$AI$97,0))</f>
        <v>1</v>
      </c>
      <c r="V14" s="13">
        <f>+INDEX(WORLDCUP!$AT$6:$AT$97,MATCH(X14,WORLDCUP!$AI$6:$AI$97,0))</f>
        <v>-4</v>
      </c>
      <c r="W14" s="14" t="str">
        <f>+INDEX(WORLDCUP!$AR$6:$AR$97,MATCH(X14,WORLDCUP!$AI$6:$AI$97,0))&amp;"-"&amp;INDEX(WORLDCUP!$AS$6:$AS$97,MATCH(X14,WORLDCUP!$AI$6:$AI$97,0))</f>
        <v>1-5</v>
      </c>
      <c r="X14" s="31" t="s">
        <v>108</v>
      </c>
      <c r="Y14" s="31"/>
      <c r="Z14" s="180"/>
      <c r="AA14" s="249"/>
      <c r="AB14" s="249"/>
      <c r="AC14" s="249"/>
      <c r="AD14" s="31"/>
      <c r="AE14" s="184"/>
      <c r="AF14" s="184"/>
      <c r="AG14" s="184"/>
      <c r="AH14" s="31"/>
      <c r="AI14" s="214"/>
      <c r="AJ14" s="214"/>
      <c r="AK14" s="254"/>
      <c r="AL14" s="31">
        <v>101</v>
      </c>
      <c r="AM14" s="263" t="str">
        <f>+MID(INDEX(WORLDCUP!$AF$101:$AF$147,MATCH(AL14,WORLDCUP!$Z$101:$Z$147,0)),1,3)</f>
        <v>Spa</v>
      </c>
      <c r="AN14" s="264">
        <f>+IF(ISBLANK(INDEX(WORLDCUP!$AD$101:$AD$147,MATCH(AL14,WORLDCUP!$Z$101:$Z$147,0))),"",INDEX(WORLDCUP!$AD$101:$AD$147,MATCH(AL14,WORLDCUP!$Z$101:$Z$147,0)))</f>
        <v>4</v>
      </c>
      <c r="AO14" s="266" t="str">
        <f>+IF(ISBLANK(INDEX(WORLDCUP!$AE$101:$AE$147,MATCH(AL14,WORLDCUP!$Z$101:$Z$147,0))),"","( "&amp;INDEX(WORLDCUP!$AE$101:$AE$147,MATCH(AL14,WORLDCUP!$Z$101:$Z$147,0))&amp;" )")</f>
        <v/>
      </c>
      <c r="AP14" s="31"/>
      <c r="AQ14" s="215"/>
      <c r="AR14" s="215"/>
      <c r="AS14" s="215"/>
      <c r="AT14" s="31"/>
      <c r="AU14" s="188"/>
      <c r="AV14" s="188"/>
      <c r="AW14" s="188"/>
      <c r="AX14" s="31"/>
      <c r="AY14" s="28"/>
      <c r="AZ14" s="28"/>
      <c r="BA14" s="28"/>
      <c r="BB14" s="28"/>
      <c r="BC14" s="28"/>
      <c r="BD14" s="28"/>
      <c r="BE14" s="28"/>
      <c r="BG14" s="217" t="str">
        <f>Horarios!Q13</f>
        <v>Croatia</v>
      </c>
      <c r="BH14" s="218">
        <f t="shared" si="0"/>
        <v>0</v>
      </c>
      <c r="BI14" s="218">
        <f>COUNTIF(Pool!$C$130:$C$161,Fixture!BG14)-BJ14-BK14-BL14-BM14-BN14-BO14</f>
        <v>0</v>
      </c>
      <c r="BJ14" s="219">
        <f>COUNTIF(Pool!$C$182:$C$197,Fixture!BG14)-BK14-BL14-BM14-BN14-BO14</f>
        <v>1</v>
      </c>
      <c r="BK14" s="220">
        <f>COUNTIF(Pool!$C$210:$C$217,Fixture!BG14)-BL14-BM14-BN14-BO14</f>
        <v>0</v>
      </c>
      <c r="BL14" s="220">
        <f>COUNTIF(Pool!$C$226:$C$229,Fixture!BG14)-BM14-BN14-BO14</f>
        <v>0</v>
      </c>
      <c r="BM14" s="218">
        <f>COUNTIF(Pool!$C$252,Fixture!BG14)</f>
        <v>0</v>
      </c>
      <c r="BN14" s="218">
        <f>COUNTIF(Pool!$C$251,Fixture!BG14)</f>
        <v>0</v>
      </c>
      <c r="BO14" s="221">
        <f>COUNTIF(Pool!$C$250,Fixture!BG14)</f>
        <v>0</v>
      </c>
    </row>
    <row r="15" spans="1:67" ht="16.149999999999999" customHeight="1" thickBot="1">
      <c r="A15" s="31">
        <v>51</v>
      </c>
      <c r="B15" s="259"/>
      <c r="C15" s="199" t="str">
        <f>+MID(INDEX(WORLDCUP!$AA$4:$AA$147,MATCH(A15,WORLDCUP!$AH$4:$AH$147,0)),1,3)</f>
        <v>Swi</v>
      </c>
      <c r="D15" s="200">
        <f>IF(ISBLANK(INDEX(WORLDCUP!$AC$4:$AC$147,MATCH(A15,WORLDCUP!$AH$4:$AH$147,0))),"",INDEX(WORLDCUP!$AC$4:$AC$147,MATCH(A15,WORLDCUP!$AH$4:$AH$147,0)))</f>
        <v>2</v>
      </c>
      <c r="E15" s="200">
        <f>IF(ISBLANK(INDEX(WORLDCUP!$AD$4:$AD$147,MATCH(A15,WORLDCUP!$AH$4:$AH$147,0))),"",INDEX(WORLDCUP!$AD$4:$AD$147,MATCH(A15,WORLDCUP!$AH$4:$AH$147,0)))</f>
        <v>0</v>
      </c>
      <c r="F15" s="201" t="str">
        <f>+MID(INDEX(WORLDCUP!$AF$4:$AF$147,MATCH(A15,WORLDCUP!$AH$4:$AH$147,0)),1,3)</f>
        <v>Can</v>
      </c>
      <c r="G15" s="222">
        <v>4</v>
      </c>
      <c r="H15" s="231" t="str">
        <f>+MID(INDEX(WORLDCUP!$AL$6:$AL$97,MATCH(L15,WORLDCUP!$AI$6:$AI$97,0)),1,3)</f>
        <v>Qat</v>
      </c>
      <c r="I15" s="232">
        <f>+INDEX(WORLDCUP!$AM$6:$AM$97,MATCH(L15,WORLDCUP!$AI$6:$AI$97,0))</f>
        <v>0</v>
      </c>
      <c r="J15" s="233">
        <f>+INDEX(WORLDCUP!$AT$6:$AT$97,MATCH(L15,WORLDCUP!$AI$6:$AI$97,0))</f>
        <v>-3</v>
      </c>
      <c r="K15" s="234" t="str">
        <f>+INDEX(WORLDCUP!$AR$6:$AR$97,MATCH(L15,WORLDCUP!$AI$6:$AI$97,0))&amp;"-"&amp;INDEX(WORLDCUP!$AS$6:$AS$97,MATCH(L15,WORLDCUP!$AI$6:$AI$97,0))</f>
        <v>0-3</v>
      </c>
      <c r="L15" s="31" t="s">
        <v>82</v>
      </c>
      <c r="M15" s="31">
        <v>65</v>
      </c>
      <c r="N15" s="260"/>
      <c r="O15" s="199" t="str">
        <f>+MID(INDEX(WORLDCUP!$AA$4:$AA$147,MATCH(M15,WORLDCUP!$AH$4:$AH$147,0)),1,3)</f>
        <v>Cap</v>
      </c>
      <c r="P15" s="200">
        <f>IF(ISBLANK(INDEX(WORLDCUP!$AC$4:$AC$147,MATCH(M15,WORLDCUP!$AH$4:$AH$147,0))),"",INDEX(WORLDCUP!$AC$4:$AC$147,MATCH(M15,WORLDCUP!$AH$4:$AH$147,0)))</f>
        <v>0</v>
      </c>
      <c r="Q15" s="200">
        <f>IF(ISBLANK(INDEX(WORLDCUP!$AD$4:$AD$147,MATCH(M15,WORLDCUP!$AH$4:$AH$147,0))),"",INDEX(WORLDCUP!$AD$4:$AD$147,MATCH(M15,WORLDCUP!$AH$4:$AH$147,0)))</f>
        <v>0</v>
      </c>
      <c r="R15" s="201" t="str">
        <f>+MID(INDEX(WORLDCUP!$AF$4:$AF$147,MATCH(M15,WORLDCUP!$AH$4:$AH$147,0)),1,3)</f>
        <v>Sau</v>
      </c>
      <c r="S15" s="222">
        <v>4</v>
      </c>
      <c r="T15" s="231" t="str">
        <f>+MID(INDEX(WORLDCUP!$AL$6:$AL$97,MATCH(X15,WORLDCUP!$AI$6:$AI$97,0)),1,3)</f>
        <v>Cap</v>
      </c>
      <c r="U15" s="232">
        <f>+INDEX(WORLDCUP!$AM$6:$AM$97,MATCH(X15,WORLDCUP!$AI$6:$AI$97,0))</f>
        <v>1</v>
      </c>
      <c r="V15" s="233">
        <f>+INDEX(WORLDCUP!$AT$6:$AT$97,MATCH(X15,WORLDCUP!$AI$6:$AI$97,0))</f>
        <v>-5</v>
      </c>
      <c r="W15" s="234" t="str">
        <f>+INDEX(WORLDCUP!$AR$6:$AR$97,MATCH(X15,WORLDCUP!$AI$6:$AI$97,0))&amp;"-"&amp;INDEX(WORLDCUP!$AS$6:$AS$97,MATCH(X15,WORLDCUP!$AI$6:$AI$97,0))</f>
        <v>0-5</v>
      </c>
      <c r="X15" s="31" t="s">
        <v>109</v>
      </c>
      <c r="Y15" s="31">
        <v>83</v>
      </c>
      <c r="Z15" s="180" t="s">
        <v>120</v>
      </c>
      <c r="AA15" s="181" t="str">
        <f>+MID(INDEX(WORLDCUP!$AA$101:$AA$147,MATCH(Y15,WORLDCUP!$Z$101:$Z$147,0)),1,3)</f>
        <v>Col</v>
      </c>
      <c r="AB15" s="182">
        <f>+IF(ISBLANK(INDEX(WORLDCUP!$AC$101:$AC$147,MATCH(Y15,WORLDCUP!$Z$101:$Z$147,0))),"",INDEX(WORLDCUP!$AC$101:$AC$147,MATCH(Y15,WORLDCUP!$Z$101:$Z$147,0)))</f>
        <v>1</v>
      </c>
      <c r="AC15" s="253" t="str">
        <f>+IF(ISBLANK(INDEX(WORLDCUP!$AB$101:$AB$147,MATCH(Y15,WORLDCUP!$Z$101:$Z$147,0))),"","( "&amp;INDEX(WORLDCUP!$AB$101:$AB$147,MATCH(Y15,WORLDCUP!$Z$101:$Z$147,0))&amp;" )")</f>
        <v/>
      </c>
      <c r="AD15" s="30"/>
      <c r="AE15" s="184"/>
      <c r="AF15" s="184"/>
      <c r="AG15" s="184"/>
      <c r="AH15" s="31"/>
      <c r="AI15" s="214"/>
      <c r="AJ15" s="214"/>
      <c r="AK15" s="254"/>
      <c r="AL15" s="170"/>
      <c r="AM15" s="186"/>
      <c r="AN15" s="186"/>
      <c r="AO15" s="267"/>
      <c r="AP15" s="170"/>
      <c r="AQ15" s="215"/>
      <c r="AR15" s="215"/>
      <c r="AS15" s="215"/>
      <c r="AT15" s="31"/>
      <c r="AU15" s="188"/>
      <c r="AV15" s="188"/>
      <c r="AW15" s="188"/>
      <c r="AX15" s="31"/>
      <c r="AY15" s="28"/>
      <c r="AZ15" s="28"/>
      <c r="BA15" s="28"/>
      <c r="BB15" s="28"/>
      <c r="BC15" s="28"/>
      <c r="BD15" s="28"/>
      <c r="BE15" s="28"/>
      <c r="BG15" s="217" t="str">
        <f>Horarios!Q14</f>
        <v>Curaçao</v>
      </c>
      <c r="BH15" s="218">
        <f t="shared" si="0"/>
        <v>1</v>
      </c>
      <c r="BI15" s="218">
        <f>COUNTIF(Pool!$C$130:$C$161,Fixture!BG15)-BJ15-BK15-BL15-BM15-BN15-BO15</f>
        <v>0</v>
      </c>
      <c r="BJ15" s="219">
        <f>COUNTIF(Pool!$C$182:$C$197,Fixture!BG15)-BK15-BL15-BM15-BN15-BO15</f>
        <v>0</v>
      </c>
      <c r="BK15" s="220">
        <f>COUNTIF(Pool!$C$210:$C$217,Fixture!BG15)-BL15-BM15-BN15-BO15</f>
        <v>0</v>
      </c>
      <c r="BL15" s="220">
        <f>COUNTIF(Pool!$C$226:$C$229,Fixture!BG15)-BM15-BN15-BO15</f>
        <v>0</v>
      </c>
      <c r="BM15" s="218">
        <f>COUNTIF(Pool!$C$252,Fixture!BG15)</f>
        <v>0</v>
      </c>
      <c r="BN15" s="218">
        <f>COUNTIF(Pool!$C$251,Fixture!BG15)</f>
        <v>0</v>
      </c>
      <c r="BO15" s="221">
        <f>COUNTIF(Pool!$C$250,Fixture!BG15)</f>
        <v>0</v>
      </c>
    </row>
    <row r="16" spans="1:67" ht="16.149999999999999" customHeight="1" thickBot="1">
      <c r="A16" s="31">
        <v>52</v>
      </c>
      <c r="B16" s="268"/>
      <c r="C16" s="242" t="str">
        <f>+MID(INDEX(WORLDCUP!$AA$4:$AA$147,MATCH(A16,WORLDCUP!$AH$4:$AH$147,0)),1,3)</f>
        <v>Bos</v>
      </c>
      <c r="D16" s="243">
        <f>IF(ISBLANK(INDEX(WORLDCUP!$AC$4:$AC$147,MATCH(A16,WORLDCUP!$AH$4:$AH$147,0))),"",INDEX(WORLDCUP!$AC$4:$AC$147,MATCH(A16,WORLDCUP!$AH$4:$AH$147,0)))</f>
        <v>1</v>
      </c>
      <c r="E16" s="243">
        <f>IF(ISBLANK(INDEX(WORLDCUP!$AD$4:$AD$147,MATCH(A16,WORLDCUP!$AH$4:$AH$147,0))),"",INDEX(WORLDCUP!$AD$4:$AD$147,MATCH(A16,WORLDCUP!$AH$4:$AH$147,0)))</f>
        <v>0</v>
      </c>
      <c r="F16" s="244" t="str">
        <f>+MID(INDEX(WORLDCUP!$AF$4:$AF$147,MATCH(A16,WORLDCUP!$AH$4:$AH$147,0)),1,3)</f>
        <v>Qat</v>
      </c>
      <c r="G16" s="245"/>
      <c r="H16" s="245"/>
      <c r="I16" s="246"/>
      <c r="J16" s="246"/>
      <c r="K16" s="247"/>
      <c r="L16" s="31"/>
      <c r="M16" s="31">
        <v>66</v>
      </c>
      <c r="N16" s="269"/>
      <c r="O16" s="242" t="str">
        <f>+MID(INDEX(WORLDCUP!$AA$4:$AA$147,MATCH(M16,WORLDCUP!$AH$4:$AH$147,0)),1,3)</f>
        <v>Uru</v>
      </c>
      <c r="P16" s="243">
        <f>IF(ISBLANK(INDEX(WORLDCUP!$AC$4:$AC$147,MATCH(M16,WORLDCUP!$AH$4:$AH$147,0))),"",INDEX(WORLDCUP!$AC$4:$AC$147,MATCH(M16,WORLDCUP!$AH$4:$AH$147,0)))</f>
        <v>1</v>
      </c>
      <c r="Q16" s="243">
        <f>IF(ISBLANK(INDEX(WORLDCUP!$AD$4:$AD$147,MATCH(M16,WORLDCUP!$AH$4:$AH$147,0))),"",INDEX(WORLDCUP!$AD$4:$AD$147,MATCH(M16,WORLDCUP!$AH$4:$AH$147,0)))</f>
        <v>3</v>
      </c>
      <c r="R16" s="244" t="str">
        <f>+MID(INDEX(WORLDCUP!$AF$4:$AF$147,MATCH(M16,WORLDCUP!$AH$4:$AH$147,0)),1,3)</f>
        <v>Spa</v>
      </c>
      <c r="S16" s="245"/>
      <c r="T16" s="245"/>
      <c r="U16" s="246"/>
      <c r="V16" s="246"/>
      <c r="W16" s="247"/>
      <c r="X16" s="31"/>
      <c r="Y16" s="31">
        <v>83</v>
      </c>
      <c r="Z16" s="180" t="s">
        <v>124</v>
      </c>
      <c r="AA16" s="181" t="str">
        <f>+MID(INDEX(WORLDCUP!$AF$101:$AF$147,MATCH(Y16,WORLDCUP!$Z$101:$Z$147,0)),1,3)</f>
        <v>Cro</v>
      </c>
      <c r="AB16" s="208">
        <f>+IF(ISBLANK(INDEX(WORLDCUP!$AD$101:$AD$147,MATCH(Y16,WORLDCUP!$Z$101:$Z$147,0))),"",INDEX(WORLDCUP!$AD$101:$AD$147,MATCH(Y16,WORLDCUP!$Z$101:$Z$147,0)))</f>
        <v>3</v>
      </c>
      <c r="AC16" s="209" t="str">
        <f>+IF(ISBLANK(INDEX(WORLDCUP!$AE$101:$AE$147,MATCH(Y16,WORLDCUP!$Z$101:$Z$147,0))),"","( "&amp;INDEX(WORLDCUP!$AE$101:$AE$147,MATCH(Y16,WORLDCUP!$Z$101:$Z$147,0))&amp;" )")</f>
        <v/>
      </c>
      <c r="AD16" s="210">
        <v>93</v>
      </c>
      <c r="AE16" s="211" t="str">
        <f>+MID(INDEX(WORLDCUP!$AA$101:$AA$147,MATCH(AD16,WORLDCUP!$Z$101:$Z$147,0)),1,3)</f>
        <v>Cro</v>
      </c>
      <c r="AF16" s="212">
        <f>+IF(ISBLANK(INDEX(WORLDCUP!$AC$101:$AC$147,MATCH(AD16,WORLDCUP!$Z$101:$Z$147,0))),"",INDEX(WORLDCUP!$AC$101:$AC$147,MATCH(AD16,WORLDCUP!$Z$101:$Z$147,0)))</f>
        <v>1</v>
      </c>
      <c r="AG16" s="213" t="str">
        <f>+IF(ISBLANK(INDEX(WORLDCUP!$AB$101:$AB$147,MATCH(AD16,WORLDCUP!$Z$101:$Z$147,0))),"","( "&amp;INDEX(WORLDCUP!$AB$101:$AB$147,MATCH(AD16,WORLDCUP!$Z$101:$Z$147,0))&amp;" )")</f>
        <v/>
      </c>
      <c r="AH16" s="31"/>
      <c r="AI16" s="214"/>
      <c r="AJ16" s="214"/>
      <c r="AK16" s="254"/>
      <c r="AL16" s="31"/>
      <c r="AM16" s="186"/>
      <c r="AN16" s="186"/>
      <c r="AO16" s="267"/>
      <c r="AP16" s="170"/>
      <c r="AQ16" s="215"/>
      <c r="AR16" s="215"/>
      <c r="AS16" s="215"/>
      <c r="AT16" s="31"/>
      <c r="AU16" s="188"/>
      <c r="AV16" s="188"/>
      <c r="AW16" s="188"/>
      <c r="AX16" s="31"/>
      <c r="AY16" s="28"/>
      <c r="AZ16" s="28"/>
      <c r="BA16" s="28"/>
      <c r="BB16" s="28"/>
      <c r="BC16" s="28"/>
      <c r="BD16" s="28"/>
      <c r="BE16" s="28"/>
      <c r="BG16" s="217" t="str">
        <f>Horarios!Q15</f>
        <v>Czech Republic</v>
      </c>
      <c r="BH16" s="218">
        <f t="shared" si="0"/>
        <v>0</v>
      </c>
      <c r="BI16" s="218">
        <f>COUNTIF(Pool!$C$130:$C$161,Fixture!BG16)-BJ16-BK16-BL16-BM16-BN16-BO16</f>
        <v>0</v>
      </c>
      <c r="BJ16" s="219">
        <f>COUNTIF(Pool!$C$182:$C$197,Fixture!BG16)-BK16-BL16-BM16-BN16-BO16</f>
        <v>1</v>
      </c>
      <c r="BK16" s="220">
        <f>COUNTIF(Pool!$C$210:$C$217,Fixture!BG16)-BL16-BM16-BN16-BO16</f>
        <v>0</v>
      </c>
      <c r="BL16" s="220">
        <f>COUNTIF(Pool!$C$226:$C$229,Fixture!BG16)-BM16-BN16-BO16</f>
        <v>0</v>
      </c>
      <c r="BM16" s="218">
        <f>COUNTIF(Pool!$C$252,Fixture!BG16)</f>
        <v>0</v>
      </c>
      <c r="BN16" s="218">
        <f>COUNTIF(Pool!$C$251,Fixture!BG16)</f>
        <v>0</v>
      </c>
      <c r="BO16" s="221">
        <f>COUNTIF(Pool!$C$250,Fixture!BG16)</f>
        <v>0</v>
      </c>
    </row>
    <row r="17" spans="1:67">
      <c r="A17" s="31"/>
      <c r="B17" s="166"/>
      <c r="C17" s="251"/>
      <c r="D17" s="252"/>
      <c r="E17" s="252"/>
      <c r="F17" s="28"/>
      <c r="G17" s="28"/>
      <c r="H17" s="251"/>
      <c r="I17" s="28"/>
      <c r="J17" s="28"/>
      <c r="K17" s="28"/>
      <c r="L17" s="31"/>
      <c r="M17" s="31"/>
      <c r="N17" s="27"/>
      <c r="O17" s="251"/>
      <c r="P17" s="252"/>
      <c r="Q17" s="252"/>
      <c r="R17" s="28"/>
      <c r="S17" s="28"/>
      <c r="T17" s="251"/>
      <c r="U17" s="28"/>
      <c r="V17" s="28"/>
      <c r="W17" s="28"/>
      <c r="X17" s="31"/>
      <c r="Y17" s="31"/>
      <c r="Z17" s="180"/>
      <c r="AA17" s="224"/>
      <c r="AB17" s="224"/>
      <c r="AC17" s="225"/>
      <c r="AD17" s="31">
        <v>93</v>
      </c>
      <c r="AE17" s="211" t="str">
        <f>+MID(INDEX(WORLDCUP!$AF$101:$AF$147,MATCH(AD17,WORLDCUP!$Z$101:$Z$147,0)),1,3)</f>
        <v>Spa</v>
      </c>
      <c r="AF17" s="212">
        <f>+IF(ISBLANK(INDEX(WORLDCUP!$AD$101:$AD$147,MATCH(AD17,WORLDCUP!$Z$101:$Z$147,0))),"",INDEX(WORLDCUP!$AD$101:$AD$147,MATCH(AD17,WORLDCUP!$Z$101:$Z$147,0)))</f>
        <v>3</v>
      </c>
      <c r="AG17" s="270" t="str">
        <f>+IF(ISBLANK(INDEX(WORLDCUP!$AE$101:$AE$147,MATCH(AD17,WORLDCUP!$Z$101:$Z$147,0))),"","( "&amp;INDEX(WORLDCUP!$AE$101:$AE$147,MATCH(AD17,WORLDCUP!$Z$101:$Z$147,0))&amp;" )")</f>
        <v/>
      </c>
      <c r="AH17" s="31"/>
      <c r="AI17" s="214"/>
      <c r="AJ17" s="214"/>
      <c r="AK17" s="254"/>
      <c r="AL17" s="31"/>
      <c r="AM17" s="186"/>
      <c r="AN17" s="186"/>
      <c r="AO17" s="267"/>
      <c r="AP17" s="170"/>
      <c r="AQ17" s="215"/>
      <c r="AR17" s="215"/>
      <c r="AS17" s="215"/>
      <c r="AT17" s="31"/>
      <c r="AU17" s="188"/>
      <c r="AV17" s="188"/>
      <c r="AW17" s="188"/>
      <c r="AX17" s="31"/>
      <c r="AY17" s="28"/>
      <c r="AZ17" s="28"/>
      <c r="BA17" s="28"/>
      <c r="BB17" s="28"/>
      <c r="BC17" s="28"/>
      <c r="BD17" s="28"/>
      <c r="BE17" s="28"/>
      <c r="BG17" s="217" t="str">
        <f>Horarios!Q16</f>
        <v>DR Congo</v>
      </c>
      <c r="BH17" s="218">
        <f t="shared" si="0"/>
        <v>1</v>
      </c>
      <c r="BI17" s="218">
        <f>COUNTIF(Pool!$C$130:$C$161,Fixture!BG17)-BJ17-BK17-BL17-BM17-BN17-BO17</f>
        <v>0</v>
      </c>
      <c r="BJ17" s="219">
        <f>COUNTIF(Pool!$C$182:$C$197,Fixture!BG17)-BK17-BL17-BM17-BN17-BO17</f>
        <v>0</v>
      </c>
      <c r="BK17" s="220">
        <f>COUNTIF(Pool!$C$210:$C$217,Fixture!BG17)-BL17-BM17-BN17-BO17</f>
        <v>0</v>
      </c>
      <c r="BL17" s="220">
        <f>COUNTIF(Pool!$C$226:$C$229,Fixture!BG17)-BM17-BN17-BO17</f>
        <v>0</v>
      </c>
      <c r="BM17" s="218">
        <f>COUNTIF(Pool!$C$252,Fixture!BG17)</f>
        <v>0</v>
      </c>
      <c r="BN17" s="218">
        <f>COUNTIF(Pool!$C$251,Fixture!BG17)</f>
        <v>0</v>
      </c>
      <c r="BO17" s="221">
        <f>COUNTIF(Pool!$C$250,Fixture!BG17)</f>
        <v>0</v>
      </c>
    </row>
    <row r="18" spans="1:67" ht="16.149999999999999" customHeight="1" thickBot="1">
      <c r="A18" s="31"/>
      <c r="B18" s="166"/>
      <c r="C18" s="251"/>
      <c r="D18" s="252"/>
      <c r="E18" s="252"/>
      <c r="F18" s="28"/>
      <c r="G18" s="28"/>
      <c r="H18" s="251"/>
      <c r="I18" s="28"/>
      <c r="J18" s="28"/>
      <c r="K18" s="28"/>
      <c r="L18" s="31"/>
      <c r="M18" s="31"/>
      <c r="N18" s="27"/>
      <c r="O18" s="251"/>
      <c r="P18" s="252"/>
      <c r="Q18" s="252"/>
      <c r="R18" s="28"/>
      <c r="S18" s="28"/>
      <c r="T18" s="251"/>
      <c r="U18" s="28"/>
      <c r="V18" s="28"/>
      <c r="W18" s="28"/>
      <c r="X18" s="31"/>
      <c r="Y18" s="31">
        <v>84</v>
      </c>
      <c r="Z18" s="180" t="s">
        <v>105</v>
      </c>
      <c r="AA18" s="181" t="str">
        <f>+MID(INDEX(WORLDCUP!$AA$101:$AA$147,MATCH(Y18,WORLDCUP!$Z$101:$Z$147,0)),1,3)</f>
        <v>Spa</v>
      </c>
      <c r="AB18" s="227">
        <f>+IF(ISBLANK(INDEX(WORLDCUP!$AC$101:$AC$147,MATCH(Y18,WORLDCUP!$Z$101:$Z$147,0))),"",INDEX(WORLDCUP!$AC$101:$AC$147,MATCH(Y18,WORLDCUP!$Z$101:$Z$147,0)))</f>
        <v>3</v>
      </c>
      <c r="AC18" s="261" t="str">
        <f>+IF(ISBLANK(INDEX(WORLDCUP!$AB$101:$AB$147,MATCH(Y18,WORLDCUP!$Z$101:$Z$147,0))),"","( "&amp;INDEX(WORLDCUP!$AB$101:$AB$147,MATCH(Y18,WORLDCUP!$Z$101:$Z$147,0))&amp;" )")</f>
        <v/>
      </c>
      <c r="AD18" s="31"/>
      <c r="AE18" s="229"/>
      <c r="AF18" s="229"/>
      <c r="AG18" s="230"/>
      <c r="AH18" s="31"/>
      <c r="AI18" s="214"/>
      <c r="AJ18" s="214"/>
      <c r="AK18" s="254"/>
      <c r="AL18" s="31"/>
      <c r="AM18" s="186"/>
      <c r="AN18" s="186"/>
      <c r="AO18" s="267"/>
      <c r="AP18" s="170"/>
      <c r="AQ18" s="215"/>
      <c r="AR18" s="215"/>
      <c r="AS18" s="215"/>
      <c r="AT18" s="31"/>
      <c r="AU18" s="188"/>
      <c r="AV18" s="188"/>
      <c r="AW18" s="188"/>
      <c r="AX18" s="271" t="str">
        <f>Idiomas!D8</f>
        <v>XXIII World Cup USA/MEX/CAN 2026</v>
      </c>
      <c r="AY18" s="271"/>
      <c r="AZ18" s="272"/>
      <c r="BA18" s="272"/>
      <c r="BB18" s="272"/>
      <c r="BC18" s="272"/>
      <c r="BD18" s="272"/>
      <c r="BE18" s="272"/>
      <c r="BG18" s="217" t="str">
        <f>Horarios!Q17</f>
        <v>Ecuador</v>
      </c>
      <c r="BH18" s="218">
        <f t="shared" si="0"/>
        <v>0</v>
      </c>
      <c r="BI18" s="218">
        <f>COUNTIF(Pool!$C$130:$C$161,Fixture!BG18)-BJ18-BK18-BL18-BM18-BN18-BO18</f>
        <v>1</v>
      </c>
      <c r="BJ18" s="219">
        <f>COUNTIF(Pool!$C$182:$C$197,Fixture!BG18)-BK18-BL18-BM18-BN18-BO18</f>
        <v>0</v>
      </c>
      <c r="BK18" s="220">
        <f>COUNTIF(Pool!$C$210:$C$217,Fixture!BG18)-BL18-BM18-BN18-BO18</f>
        <v>0</v>
      </c>
      <c r="BL18" s="220">
        <f>COUNTIF(Pool!$C$226:$C$229,Fixture!BG18)-BM18-BN18-BO18</f>
        <v>0</v>
      </c>
      <c r="BM18" s="218">
        <f>COUNTIF(Pool!$C$252,Fixture!BG18)</f>
        <v>0</v>
      </c>
      <c r="BN18" s="218">
        <f>COUNTIF(Pool!$C$251,Fixture!BG18)</f>
        <v>0</v>
      </c>
      <c r="BO18" s="221">
        <f>COUNTIF(Pool!$C$250,Fixture!BG18)</f>
        <v>0</v>
      </c>
    </row>
    <row r="19" spans="1:67" ht="16.149999999999999" customHeight="1" thickBot="1">
      <c r="A19" s="31">
        <v>7</v>
      </c>
      <c r="B19" s="273" t="s">
        <v>89</v>
      </c>
      <c r="C19" s="172" t="str">
        <f>+MID(INDEX(WORLDCUP!$AA$4:$AA$147,MATCH(A19,WORLDCUP!$AH$4:$AH$147,0)),1,3)</f>
        <v>Bra</v>
      </c>
      <c r="D19" s="173">
        <f>IF(ISBLANK(INDEX(WORLDCUP!$AC$4:$AC$147,MATCH(A19,WORLDCUP!$AH$4:$AH$147,0))),"",INDEX(WORLDCUP!$AC$4:$AC$147,MATCH(A19,WORLDCUP!$AH$4:$AH$147,0)))</f>
        <v>2</v>
      </c>
      <c r="E19" s="173">
        <f>IF(ISBLANK(INDEX(WORLDCUP!$AD$4:$AD$147,MATCH(A19,WORLDCUP!$AH$4:$AH$147,0))),"",INDEX(WORLDCUP!$AD$4:$AD$147,MATCH(A19,WORLDCUP!$AH$4:$AH$147,0)))</f>
        <v>1</v>
      </c>
      <c r="F19" s="174" t="str">
        <f>+MID(INDEX(WORLDCUP!$AF$4:$AF$147,MATCH(A19,WORLDCUP!$AH$4:$AH$147,0)),1,3)</f>
        <v>Mor</v>
      </c>
      <c r="G19" s="175"/>
      <c r="H19" s="176" t="str">
        <f>+H11</f>
        <v>Nat</v>
      </c>
      <c r="I19" s="177" t="str">
        <f>+I11</f>
        <v>Pts</v>
      </c>
      <c r="J19" s="177" t="str">
        <f>+J11</f>
        <v>GD</v>
      </c>
      <c r="K19" s="178" t="str">
        <f>+K11</f>
        <v>F-A</v>
      </c>
      <c r="L19" s="31"/>
      <c r="M19" s="31">
        <v>17</v>
      </c>
      <c r="N19" s="274" t="s">
        <v>131</v>
      </c>
      <c r="O19" s="172" t="str">
        <f>+MID(INDEX(WORLDCUP!$AA$4:$AA$147,MATCH(M19,WORLDCUP!$AH$4:$AH$147,0)),1,3)</f>
        <v>Fra</v>
      </c>
      <c r="P19" s="173">
        <f>IF(ISBLANK(INDEX(WORLDCUP!$AC$4:$AC$147,MATCH(M19,WORLDCUP!$AH$4:$AH$147,0))),"",INDEX(WORLDCUP!$AC$4:$AC$147,MATCH(M19,WORLDCUP!$AH$4:$AH$147,0)))</f>
        <v>3</v>
      </c>
      <c r="Q19" s="173">
        <f>IF(ISBLANK(INDEX(WORLDCUP!$AD$4:$AD$147,MATCH(M19,WORLDCUP!$AH$4:$AH$147,0))),"",INDEX(WORLDCUP!$AD$4:$AD$147,MATCH(M19,WORLDCUP!$AH$4:$AH$147,0)))</f>
        <v>0</v>
      </c>
      <c r="R19" s="174" t="str">
        <f>+MID(INDEX(WORLDCUP!$AF$4:$AF$147,MATCH(M19,WORLDCUP!$AH$4:$AH$147,0)),1,3)</f>
        <v>Sen</v>
      </c>
      <c r="S19" s="175"/>
      <c r="T19" s="176" t="str">
        <f>+T11</f>
        <v>Nat</v>
      </c>
      <c r="U19" s="177" t="str">
        <f>+U11</f>
        <v>Pts</v>
      </c>
      <c r="V19" s="177" t="str">
        <f>+V11</f>
        <v>GD</v>
      </c>
      <c r="W19" s="178" t="str">
        <f>+W11</f>
        <v>F-A</v>
      </c>
      <c r="X19" s="31"/>
      <c r="Y19" s="31">
        <v>84</v>
      </c>
      <c r="Z19" s="180" t="s">
        <v>115</v>
      </c>
      <c r="AA19" s="235" t="str">
        <f>+MID(INDEX(WORLDCUP!$AF$101:$AF$147,MATCH(Y19,WORLDCUP!$Z$101:$Z$147,0)),1,3)</f>
        <v>Aus</v>
      </c>
      <c r="AB19" s="236">
        <f>+IF(ISBLANK(INDEX(WORLDCUP!$AD$101:$AD$147,MATCH(Y19,WORLDCUP!$Z$101:$Z$147,0))),"",INDEX(WORLDCUP!$AD$101:$AD$147,MATCH(Y19,WORLDCUP!$Z$101:$Z$147,0)))</f>
        <v>1</v>
      </c>
      <c r="AC19" s="262" t="str">
        <f>+IF(ISBLANK(INDEX(WORLDCUP!$AE$101:$AE$147,MATCH(Y19,WORLDCUP!$Z$101:$Z$147,0))),"","( "&amp;INDEX(WORLDCUP!$AE$101:$AE$147,MATCH(Y19,WORLDCUP!$Z$101:$Z$147,0))&amp;" )")</f>
        <v/>
      </c>
      <c r="AD19" s="31"/>
      <c r="AE19" s="229"/>
      <c r="AF19" s="229"/>
      <c r="AG19" s="230"/>
      <c r="AH19" s="255">
        <v>98</v>
      </c>
      <c r="AI19" s="238" t="str">
        <f>+MID(INDEX(WORLDCUP!$AA$101:$AA$147,MATCH(AH19,WORLDCUP!$Z$101:$Z$147,0)),1,3)</f>
        <v>Spa</v>
      </c>
      <c r="AJ19" s="239">
        <f>+IF(ISBLANK(INDEX(WORLDCUP!$AC$101:$AC$147,MATCH(AH19,WORLDCUP!$Z$101:$Z$147,0))),"",INDEX(WORLDCUP!$AC$101:$AC$147,MATCH(AH19,WORLDCUP!$Z$101:$Z$147,0)))</f>
        <v>3</v>
      </c>
      <c r="AK19" s="275" t="str">
        <f>+IF(ISBLANK(INDEX(WORLDCUP!$AB$101:$AB$147,MATCH(AH19,WORLDCUP!$Z$101:$Z$147,0))),"","( "&amp;INDEX(WORLDCUP!$AB$101:$AB$147,MATCH(AH19,WORLDCUP!$Z$101:$Z$147,0))&amp;" )")</f>
        <v/>
      </c>
      <c r="AL19" s="31"/>
      <c r="AM19" s="186"/>
      <c r="AN19" s="186"/>
      <c r="AO19" s="267"/>
      <c r="AP19" s="170"/>
      <c r="AQ19" s="215"/>
      <c r="AR19" s="215"/>
      <c r="AS19" s="215"/>
      <c r="AT19" s="31"/>
      <c r="AU19" s="188"/>
      <c r="AV19" s="188"/>
      <c r="AW19" s="188"/>
      <c r="AX19" s="31"/>
      <c r="AY19" s="28"/>
      <c r="AZ19" s="28"/>
      <c r="BA19" s="28"/>
      <c r="BB19" s="28"/>
      <c r="BC19" s="28"/>
      <c r="BD19" s="28"/>
      <c r="BE19" s="28"/>
      <c r="BG19" s="217" t="str">
        <f>Horarios!Q18</f>
        <v>Egypt</v>
      </c>
      <c r="BH19" s="218">
        <f t="shared" si="0"/>
        <v>0</v>
      </c>
      <c r="BI19" s="218">
        <f>COUNTIF(Pool!$C$130:$C$161,Fixture!BG19)-BJ19-BK19-BL19-BM19-BN19-BO19</f>
        <v>1</v>
      </c>
      <c r="BJ19" s="219">
        <f>COUNTIF(Pool!$C$182:$C$197,Fixture!BG19)-BK19-BL19-BM19-BN19-BO19</f>
        <v>0</v>
      </c>
      <c r="BK19" s="220">
        <f>COUNTIF(Pool!$C$210:$C$217,Fixture!BG19)-BL19-BM19-BN19-BO19</f>
        <v>0</v>
      </c>
      <c r="BL19" s="220">
        <f>COUNTIF(Pool!$C$226:$C$229,Fixture!BG19)-BM19-BN19-BO19</f>
        <v>0</v>
      </c>
      <c r="BM19" s="218">
        <f>COUNTIF(Pool!$C$252,Fixture!BG19)</f>
        <v>0</v>
      </c>
      <c r="BN19" s="218">
        <f>COUNTIF(Pool!$C$251,Fixture!BG19)</f>
        <v>0</v>
      </c>
      <c r="BO19" s="221">
        <f>COUNTIF(Pool!$C$250,Fixture!BG19)</f>
        <v>0</v>
      </c>
    </row>
    <row r="20" spans="1:67">
      <c r="A20" s="31">
        <v>5</v>
      </c>
      <c r="B20" s="276"/>
      <c r="C20" s="199" t="str">
        <f>+MID(INDEX(WORLDCUP!$AA$4:$AA$147,MATCH(A20,WORLDCUP!$AH$4:$AH$147,0)),1,3)</f>
        <v>Hai</v>
      </c>
      <c r="D20" s="200">
        <f>IF(ISBLANK(INDEX(WORLDCUP!$AC$4:$AC$147,MATCH(A20,WORLDCUP!$AH$4:$AH$147,0))),"",INDEX(WORLDCUP!$AC$4:$AC$147,MATCH(A20,WORLDCUP!$AH$4:$AH$147,0)))</f>
        <v>0</v>
      </c>
      <c r="E20" s="200">
        <f>IF(ISBLANK(INDEX(WORLDCUP!$AD$4:$AD$147,MATCH(A20,WORLDCUP!$AH$4:$AH$147,0))),"",INDEX(WORLDCUP!$AD$4:$AD$147,MATCH(A20,WORLDCUP!$AH$4:$AH$147,0)))</f>
        <v>2</v>
      </c>
      <c r="F20" s="201" t="str">
        <f>+MID(INDEX(WORLDCUP!$AF$4:$AF$147,MATCH(A20,WORLDCUP!$AH$4:$AH$147,0)),1,3)</f>
        <v>Sco</v>
      </c>
      <c r="G20" s="202">
        <v>1</v>
      </c>
      <c r="H20" s="203" t="str">
        <f>+MID(INDEX(WORLDCUP!$AL$6:$AL$97,MATCH(L20,WORLDCUP!$AI$6:$AI$97,0)),1,3)</f>
        <v>Bra</v>
      </c>
      <c r="I20" s="204">
        <f>+INDEX(WORLDCUP!$AM$6:$AM$97,MATCH(L20,WORLDCUP!$AI$6:$AI$97,0))</f>
        <v>9</v>
      </c>
      <c r="J20" s="205">
        <f>+INDEX(WORLDCUP!$AT$6:$AT$97,MATCH(L20,WORLDCUP!$AI$6:$AI$97,0))</f>
        <v>5</v>
      </c>
      <c r="K20" s="206" t="str">
        <f>+INDEX(WORLDCUP!$AR$6:$AR$97,MATCH(L20,WORLDCUP!$AI$6:$AI$97,0))&amp;"-"&amp;INDEX(WORLDCUP!$AS$6:$AS$97,MATCH(L20,WORLDCUP!$AI$6:$AI$97,0))</f>
        <v>7-2</v>
      </c>
      <c r="L20" s="31" t="s">
        <v>83</v>
      </c>
      <c r="M20" s="31">
        <v>18</v>
      </c>
      <c r="N20" s="277"/>
      <c r="O20" s="199" t="str">
        <f>+MID(INDEX(WORLDCUP!$AA$4:$AA$147,MATCH(M20,WORLDCUP!$AH$4:$AH$147,0)),1,3)</f>
        <v>Ira</v>
      </c>
      <c r="P20" s="200">
        <f>IF(ISBLANK(INDEX(WORLDCUP!$AC$4:$AC$147,MATCH(M20,WORLDCUP!$AH$4:$AH$147,0))),"",INDEX(WORLDCUP!$AC$4:$AC$147,MATCH(M20,WORLDCUP!$AH$4:$AH$147,0)))</f>
        <v>0</v>
      </c>
      <c r="Q20" s="200">
        <f>IF(ISBLANK(INDEX(WORLDCUP!$AD$4:$AD$147,MATCH(M20,WORLDCUP!$AH$4:$AH$147,0))),"",INDEX(WORLDCUP!$AD$4:$AD$147,MATCH(M20,WORLDCUP!$AH$4:$AH$147,0)))</f>
        <v>1</v>
      </c>
      <c r="R20" s="201" t="str">
        <f>+MID(INDEX(WORLDCUP!$AF$4:$AF$147,MATCH(M20,WORLDCUP!$AH$4:$AH$147,0)),1,3)</f>
        <v>Nor</v>
      </c>
      <c r="S20" s="202">
        <v>1</v>
      </c>
      <c r="T20" s="203" t="str">
        <f>+MID(INDEX(WORLDCUP!$AL$6:$AL$97,MATCH(X20,WORLDCUP!$AI$6:$AI$97,0)),1,3)</f>
        <v>Fra</v>
      </c>
      <c r="U20" s="204">
        <f>+INDEX(WORLDCUP!$AM$6:$AM$97,MATCH(X20,WORLDCUP!$AI$6:$AI$97,0))</f>
        <v>9</v>
      </c>
      <c r="V20" s="205">
        <f>+INDEX(WORLDCUP!$AT$6:$AT$97,MATCH(X20,WORLDCUP!$AI$6:$AI$97,0))</f>
        <v>8</v>
      </c>
      <c r="W20" s="206" t="str">
        <f>+INDEX(WORLDCUP!$AR$6:$AR$97,MATCH(X20,WORLDCUP!$AI$6:$AI$97,0))&amp;"-"&amp;INDEX(WORLDCUP!$AS$6:$AS$97,MATCH(X20,WORLDCUP!$AI$6:$AI$97,0))</f>
        <v>9-1</v>
      </c>
      <c r="X20" s="31" t="s">
        <v>110</v>
      </c>
      <c r="Y20" s="31"/>
      <c r="Z20" s="180"/>
      <c r="AA20" s="249"/>
      <c r="AB20" s="249"/>
      <c r="AC20" s="249"/>
      <c r="AD20" s="31"/>
      <c r="AE20" s="184"/>
      <c r="AF20" s="184"/>
      <c r="AG20" s="230"/>
      <c r="AH20" s="31">
        <v>98</v>
      </c>
      <c r="AI20" s="238" t="str">
        <f>+MID(INDEX(WORLDCUP!$AF$101:$AF$147,MATCH(AH20,WORLDCUP!$Z$101:$Z$147,0)),1,3)</f>
        <v>Bel</v>
      </c>
      <c r="AJ20" s="239">
        <f>+IF(ISBLANK(INDEX(WORLDCUP!$AD$101:$AD$147,MATCH(AH20,WORLDCUP!$Z$101:$Z$147,0))),"",INDEX(WORLDCUP!$AD$101:$AD$147,MATCH(AH20,WORLDCUP!$Z$101:$Z$147,0)))</f>
        <v>2</v>
      </c>
      <c r="AK20" s="214" t="str">
        <f>+IF(ISBLANK(INDEX(WORLDCUP!$AE$101:$AE$147,MATCH(AH20,WORLDCUP!$Z$101:$Z$147,0))),"","( "&amp;INDEX(WORLDCUP!$AE$101:$AE$147,MATCH(AH20,WORLDCUP!$Z$101:$Z$147,0))&amp;" )")</f>
        <v/>
      </c>
      <c r="AL20" s="31"/>
      <c r="AM20" s="186"/>
      <c r="AN20" s="186"/>
      <c r="AO20" s="267"/>
      <c r="AP20" s="31"/>
      <c r="AQ20" s="215"/>
      <c r="AR20" s="215"/>
      <c r="AS20" s="215"/>
      <c r="AT20" s="31"/>
      <c r="AU20" s="278"/>
      <c r="AV20" s="129"/>
      <c r="AW20" s="188"/>
      <c r="AX20" s="31"/>
      <c r="AY20" s="279"/>
      <c r="AZ20" s="280"/>
      <c r="BA20" s="280"/>
      <c r="BB20" s="280"/>
      <c r="BC20" s="281"/>
      <c r="BD20" s="28"/>
      <c r="BE20" s="28"/>
      <c r="BG20" s="217" t="str">
        <f>Horarios!Q19</f>
        <v>England</v>
      </c>
      <c r="BH20" s="218">
        <f t="shared" si="0"/>
        <v>0</v>
      </c>
      <c r="BI20" s="218">
        <f>COUNTIF(Pool!$C$130:$C$161,Fixture!BG20)-BJ20-BK20-BL20-BM20-BN20-BO20</f>
        <v>0</v>
      </c>
      <c r="BJ20" s="219">
        <f>COUNTIF(Pool!$C$182:$C$197,Fixture!BG20)-BK20-BL20-BM20-BN20-BO20</f>
        <v>0</v>
      </c>
      <c r="BK20" s="220">
        <f>COUNTIF(Pool!$C$210:$C$217,Fixture!BG20)-BL20-BM20-BN20-BO20</f>
        <v>0</v>
      </c>
      <c r="BL20" s="220">
        <f>COUNTIF(Pool!$C$226:$C$229,Fixture!BG20)-BM20-BN20-BO20</f>
        <v>0</v>
      </c>
      <c r="BM20" s="218">
        <f>COUNTIF(Pool!$C$252,Fixture!BG20)</f>
        <v>1</v>
      </c>
      <c r="BN20" s="218">
        <f>COUNTIF(Pool!$C$251,Fixture!BG20)</f>
        <v>0</v>
      </c>
      <c r="BO20" s="221">
        <f>COUNTIF(Pool!$C$250,Fixture!BG20)</f>
        <v>0</v>
      </c>
    </row>
    <row r="21" spans="1:67" ht="16.149999999999999" customHeight="1" thickBot="1">
      <c r="A21" s="31">
        <v>30</v>
      </c>
      <c r="B21" s="276"/>
      <c r="C21" s="199" t="str">
        <f>+MID(INDEX(WORLDCUP!$AA$4:$AA$147,MATCH(A21,WORLDCUP!$AH$4:$AH$147,0)),1,3)</f>
        <v>Sco</v>
      </c>
      <c r="D21" s="200">
        <f>IF(ISBLANK(INDEX(WORLDCUP!$AC$4:$AC$147,MATCH(A21,WORLDCUP!$AH$4:$AH$147,0))),"",INDEX(WORLDCUP!$AC$4:$AC$147,MATCH(A21,WORLDCUP!$AH$4:$AH$147,0)))</f>
        <v>0</v>
      </c>
      <c r="E21" s="200">
        <f>IF(ISBLANK(INDEX(WORLDCUP!$AD$4:$AD$147,MATCH(A21,WORLDCUP!$AH$4:$AH$147,0))),"",INDEX(WORLDCUP!$AD$4:$AD$147,MATCH(A21,WORLDCUP!$AH$4:$AH$147,0)))</f>
        <v>2</v>
      </c>
      <c r="F21" s="201" t="str">
        <f>+MID(INDEX(WORLDCUP!$AF$4:$AF$147,MATCH(A21,WORLDCUP!$AH$4:$AH$147,0)),1,3)</f>
        <v>Mor</v>
      </c>
      <c r="G21" s="222">
        <v>2</v>
      </c>
      <c r="H21" s="223" t="str">
        <f>+MID(INDEX(WORLDCUP!$AL$6:$AL$97,MATCH(L21,WORLDCUP!$AI$6:$AI$97,0)),1,3)</f>
        <v>Mor</v>
      </c>
      <c r="I21" s="12">
        <f>+INDEX(WORLDCUP!$AM$6:$AM$97,MATCH(L21,WORLDCUP!$AI$6:$AI$97,0))</f>
        <v>6</v>
      </c>
      <c r="J21" s="13">
        <f>+INDEX(WORLDCUP!$AT$6:$AT$97,MATCH(L21,WORLDCUP!$AI$6:$AI$97,0))</f>
        <v>3</v>
      </c>
      <c r="K21" s="14" t="str">
        <f>+INDEX(WORLDCUP!$AR$6:$AR$97,MATCH(L21,WORLDCUP!$AI$6:$AI$97,0))&amp;"-"&amp;INDEX(WORLDCUP!$AS$6:$AS$97,MATCH(L21,WORLDCUP!$AI$6:$AI$97,0))</f>
        <v>5-2</v>
      </c>
      <c r="L21" s="31" t="s">
        <v>84</v>
      </c>
      <c r="M21" s="31">
        <v>42</v>
      </c>
      <c r="N21" s="277"/>
      <c r="O21" s="199" t="str">
        <f>+MID(INDEX(WORLDCUP!$AA$4:$AA$147,MATCH(M21,WORLDCUP!$AH$4:$AH$147,0)),1,3)</f>
        <v>Fra</v>
      </c>
      <c r="P21" s="200">
        <f>IF(ISBLANK(INDEX(WORLDCUP!$AC$4:$AC$147,MATCH(M21,WORLDCUP!$AH$4:$AH$147,0))),"",INDEX(WORLDCUP!$AC$4:$AC$147,MATCH(M21,WORLDCUP!$AH$4:$AH$147,0)))</f>
        <v>4</v>
      </c>
      <c r="Q21" s="200">
        <f>IF(ISBLANK(INDEX(WORLDCUP!$AD$4:$AD$147,MATCH(M21,WORLDCUP!$AH$4:$AH$147,0))),"",INDEX(WORLDCUP!$AD$4:$AD$147,MATCH(M21,WORLDCUP!$AH$4:$AH$147,0)))</f>
        <v>0</v>
      </c>
      <c r="R21" s="201" t="str">
        <f>+MID(INDEX(WORLDCUP!$AF$4:$AF$147,MATCH(M21,WORLDCUP!$AH$4:$AH$147,0)),1,3)</f>
        <v>Ira</v>
      </c>
      <c r="S21" s="222">
        <v>2</v>
      </c>
      <c r="T21" s="223" t="str">
        <f>+MID(INDEX(WORLDCUP!$AL$6:$AL$97,MATCH(X21,WORLDCUP!$AI$6:$AI$97,0)),1,3)</f>
        <v>Nor</v>
      </c>
      <c r="U21" s="12">
        <f>+INDEX(WORLDCUP!$AM$6:$AM$97,MATCH(X21,WORLDCUP!$AI$6:$AI$97,0))</f>
        <v>6</v>
      </c>
      <c r="V21" s="13">
        <f>+INDEX(WORLDCUP!$AT$6:$AT$97,MATCH(X21,WORLDCUP!$AI$6:$AI$97,0))</f>
        <v>2</v>
      </c>
      <c r="W21" s="14" t="str">
        <f>+INDEX(WORLDCUP!$AR$6:$AR$97,MATCH(X21,WORLDCUP!$AI$6:$AI$97,0))&amp;"-"&amp;INDEX(WORLDCUP!$AS$6:$AS$97,MATCH(X21,WORLDCUP!$AI$6:$AI$97,0))</f>
        <v>4-2</v>
      </c>
      <c r="X21" s="31" t="s">
        <v>111</v>
      </c>
      <c r="Y21" s="31">
        <v>81</v>
      </c>
      <c r="Z21" s="180" t="s">
        <v>87</v>
      </c>
      <c r="AA21" s="181" t="str">
        <f>+MID(INDEX(WORLDCUP!$AA$101:$AA$147,MATCH(Y21,WORLDCUP!$Z$101:$Z$147,0)),1,3)</f>
        <v>Tur</v>
      </c>
      <c r="AB21" s="182">
        <f>+IF(ISBLANK(INDEX(WORLDCUP!$AC$101:$AC$147,MATCH(Y21,WORLDCUP!$Z$101:$Z$147,0))),"",INDEX(WORLDCUP!$AC$101:$AC$147,MATCH(Y21,WORLDCUP!$Z$101:$Z$147,0)))</f>
        <v>2</v>
      </c>
      <c r="AC21" s="253" t="str">
        <f>+IF(ISBLANK(INDEX(WORLDCUP!$AB$101:$AB$147,MATCH(Y21,WORLDCUP!$Z$101:$Z$147,0))),"","( "&amp;INDEX(WORLDCUP!$AB$101:$AB$147,MATCH(Y21,WORLDCUP!$Z$101:$Z$147,0))&amp;" )")</f>
        <v/>
      </c>
      <c r="AD21" s="30"/>
      <c r="AE21" s="184"/>
      <c r="AF21" s="184"/>
      <c r="AG21" s="230"/>
      <c r="AH21" s="31"/>
      <c r="AI21" s="214"/>
      <c r="AJ21" s="214"/>
      <c r="AK21" s="214"/>
      <c r="AL21" s="31"/>
      <c r="AM21" s="186"/>
      <c r="AN21" s="186"/>
      <c r="AO21" s="267"/>
      <c r="AP21" s="31"/>
      <c r="AQ21" s="215"/>
      <c r="AR21" s="215"/>
      <c r="AS21" s="215"/>
      <c r="AT21" s="31"/>
      <c r="AU21" s="278"/>
      <c r="AV21" s="129"/>
      <c r="AW21" s="188"/>
      <c r="AX21" s="31"/>
      <c r="AY21" s="282"/>
      <c r="AZ21" s="283"/>
      <c r="BA21" s="283" t="str">
        <f>WORLDCUP!AA150</f>
        <v>Portugal</v>
      </c>
      <c r="BB21" s="283"/>
      <c r="BC21" s="284"/>
      <c r="BD21" s="28"/>
      <c r="BE21" s="28"/>
      <c r="BG21" s="217" t="str">
        <f>Horarios!Q20</f>
        <v>France</v>
      </c>
      <c r="BH21" s="218">
        <f t="shared" si="0"/>
        <v>0</v>
      </c>
      <c r="BI21" s="218">
        <f>COUNTIF(Pool!$C$130:$C$161,Fixture!BG21)-BJ21-BK21-BL21-BM21-BN21-BO21</f>
        <v>0</v>
      </c>
      <c r="BJ21" s="219">
        <f>COUNTIF(Pool!$C$182:$C$197,Fixture!BG21)-BK21-BL21-BM21-BN21-BO21</f>
        <v>0</v>
      </c>
      <c r="BK21" s="220">
        <f>COUNTIF(Pool!$C$210:$C$217,Fixture!BG21)-BL21-BM21-BN21-BO21</f>
        <v>0</v>
      </c>
      <c r="BL21" s="220">
        <f>COUNTIF(Pool!$C$226:$C$229,Fixture!BG21)-BM21-BN21-BO21</f>
        <v>1</v>
      </c>
      <c r="BM21" s="218">
        <f>COUNTIF(Pool!$C$252,Fixture!BG21)</f>
        <v>0</v>
      </c>
      <c r="BN21" s="218">
        <f>COUNTIF(Pool!$C$251,Fixture!BG21)</f>
        <v>0</v>
      </c>
      <c r="BO21" s="221">
        <f>COUNTIF(Pool!$C$250,Fixture!BG21)</f>
        <v>0</v>
      </c>
    </row>
    <row r="22" spans="1:67" ht="16.149999999999999" customHeight="1" thickBot="1">
      <c r="A22" s="31">
        <v>29</v>
      </c>
      <c r="B22" s="276"/>
      <c r="C22" s="199" t="str">
        <f>+MID(INDEX(WORLDCUP!$AA$4:$AA$147,MATCH(A22,WORLDCUP!$AH$4:$AH$147,0)),1,3)</f>
        <v>Bra</v>
      </c>
      <c r="D22" s="200">
        <f>IF(ISBLANK(INDEX(WORLDCUP!$AC$4:$AC$147,MATCH(A22,WORLDCUP!$AH$4:$AH$147,0))),"",INDEX(WORLDCUP!$AC$4:$AC$147,MATCH(A22,WORLDCUP!$AH$4:$AH$147,0)))</f>
        <v>3</v>
      </c>
      <c r="E22" s="200">
        <f>IF(ISBLANK(INDEX(WORLDCUP!$AD$4:$AD$147,MATCH(A22,WORLDCUP!$AH$4:$AH$147,0))),"",INDEX(WORLDCUP!$AD$4:$AD$147,MATCH(A22,WORLDCUP!$AH$4:$AH$147,0)))</f>
        <v>0</v>
      </c>
      <c r="F22" s="201" t="str">
        <f>+MID(INDEX(WORLDCUP!$AF$4:$AF$147,MATCH(A22,WORLDCUP!$AH$4:$AH$147,0)),1,3)</f>
        <v>Hai</v>
      </c>
      <c r="G22" s="222">
        <v>3</v>
      </c>
      <c r="H22" s="223" t="str">
        <f>+MID(INDEX(WORLDCUP!$AL$6:$AL$97,MATCH(L22,WORLDCUP!$AI$6:$AI$97,0)),1,3)</f>
        <v>Sco</v>
      </c>
      <c r="I22" s="12">
        <f>+INDEX(WORLDCUP!$AM$6:$AM$97,MATCH(L22,WORLDCUP!$AI$6:$AI$97,0))</f>
        <v>3</v>
      </c>
      <c r="J22" s="13">
        <f>+INDEX(WORLDCUP!$AT$6:$AT$97,MATCH(L22,WORLDCUP!$AI$6:$AI$97,0))</f>
        <v>-1</v>
      </c>
      <c r="K22" s="14" t="str">
        <f>+INDEX(WORLDCUP!$AR$6:$AR$97,MATCH(L22,WORLDCUP!$AI$6:$AI$97,0))&amp;"-"&amp;INDEX(WORLDCUP!$AS$6:$AS$97,MATCH(L22,WORLDCUP!$AI$6:$AI$97,0))</f>
        <v>3-4</v>
      </c>
      <c r="L22" s="31" t="s">
        <v>85</v>
      </c>
      <c r="M22" s="31">
        <v>41</v>
      </c>
      <c r="N22" s="277"/>
      <c r="O22" s="199" t="str">
        <f>+MID(INDEX(WORLDCUP!$AA$4:$AA$147,MATCH(M22,WORLDCUP!$AH$4:$AH$147,0)),1,3)</f>
        <v>Nor</v>
      </c>
      <c r="P22" s="200">
        <f>IF(ISBLANK(INDEX(WORLDCUP!$AC$4:$AC$147,MATCH(M22,WORLDCUP!$AH$4:$AH$147,0))),"",INDEX(WORLDCUP!$AC$4:$AC$147,MATCH(M22,WORLDCUP!$AH$4:$AH$147,0)))</f>
        <v>2</v>
      </c>
      <c r="Q22" s="200">
        <f>IF(ISBLANK(INDEX(WORLDCUP!$AD$4:$AD$147,MATCH(M22,WORLDCUP!$AH$4:$AH$147,0))),"",INDEX(WORLDCUP!$AD$4:$AD$147,MATCH(M22,WORLDCUP!$AH$4:$AH$147,0)))</f>
        <v>0</v>
      </c>
      <c r="R22" s="201" t="str">
        <f>+MID(INDEX(WORLDCUP!$AF$4:$AF$147,MATCH(M22,WORLDCUP!$AH$4:$AH$147,0)),1,3)</f>
        <v>Sen</v>
      </c>
      <c r="S22" s="222">
        <v>3</v>
      </c>
      <c r="T22" s="223" t="str">
        <f>+MID(INDEX(WORLDCUP!$AL$6:$AL$97,MATCH(X22,WORLDCUP!$AI$6:$AI$97,0)),1,3)</f>
        <v>Sen</v>
      </c>
      <c r="U22" s="12">
        <f>+INDEX(WORLDCUP!$AM$6:$AM$97,MATCH(X22,WORLDCUP!$AI$6:$AI$97,0))</f>
        <v>3</v>
      </c>
      <c r="V22" s="13">
        <f>+INDEX(WORLDCUP!$AT$6:$AT$97,MATCH(X22,WORLDCUP!$AI$6:$AI$97,0))</f>
        <v>-4</v>
      </c>
      <c r="W22" s="14" t="str">
        <f>+INDEX(WORLDCUP!$AR$6:$AR$97,MATCH(X22,WORLDCUP!$AI$6:$AI$97,0))&amp;"-"&amp;INDEX(WORLDCUP!$AS$6:$AS$97,MATCH(X22,WORLDCUP!$AI$6:$AI$97,0))</f>
        <v>1-5</v>
      </c>
      <c r="X22" s="31" t="s">
        <v>112</v>
      </c>
      <c r="Y22" s="31">
        <v>81</v>
      </c>
      <c r="Z22" s="180" t="s">
        <v>162</v>
      </c>
      <c r="AA22" s="181" t="str">
        <f>+MID(INDEX(WORLDCUP!$AF$101:$AF$147,MATCH(Y22,WORLDCUP!$Z$101:$Z$147,0)),1,IF(WORLDCUP!$H$113&lt;144,6,3))</f>
        <v>Bos</v>
      </c>
      <c r="AB22" s="208">
        <f>+IF(ISBLANK(INDEX(WORLDCUP!$AD$101:$AD$147,MATCH(Y22,WORLDCUP!$Z$101:$Z$147,0))),"",INDEX(WORLDCUP!$AD$101:$AD$147,MATCH(Y22,WORLDCUP!$Z$101:$Z$147,0)))</f>
        <v>0</v>
      </c>
      <c r="AC22" s="209" t="str">
        <f>+IF(ISBLANK(INDEX(WORLDCUP!$AE$101:$AE$147,MATCH(Y22,WORLDCUP!$Z$101:$Z$147,0))),"","( "&amp;INDEX(WORLDCUP!$AE$101:$AE$147,MATCH(Y22,WORLDCUP!$Z$101:$Z$147,0))&amp;" )")</f>
        <v/>
      </c>
      <c r="AD22" s="210">
        <v>94</v>
      </c>
      <c r="AE22" s="211" t="str">
        <f>+MID(INDEX(WORLDCUP!$AA$101:$AA$147,MATCH(AD22,WORLDCUP!$Z$101:$Z$147,0)),1,3)</f>
        <v>Tur</v>
      </c>
      <c r="AF22" s="212">
        <f>+IF(ISBLANK(INDEX(WORLDCUP!$AC$101:$AC$147,MATCH(AD22,WORLDCUP!$Z$101:$Z$147,0))),"",INDEX(WORLDCUP!$AC$101:$AC$147,MATCH(AD22,WORLDCUP!$Z$101:$Z$147,0)))</f>
        <v>1</v>
      </c>
      <c r="AG22" s="256" t="str">
        <f>+IF(ISBLANK(INDEX(WORLDCUP!$AB$101:$AB$147,MATCH(AD22,WORLDCUP!$Z$101:$Z$147,0))),"","( "&amp;INDEX(WORLDCUP!$AB$101:$AB$147,MATCH(AD22,WORLDCUP!$Z$101:$Z$147,0))&amp;" )")</f>
        <v/>
      </c>
      <c r="AH22" s="31"/>
      <c r="AI22" s="214"/>
      <c r="AJ22" s="214"/>
      <c r="AK22" s="214"/>
      <c r="AL22" s="31"/>
      <c r="AM22" s="186"/>
      <c r="AN22" s="186"/>
      <c r="AO22" s="267"/>
      <c r="AP22" s="31"/>
      <c r="AQ22" s="215"/>
      <c r="AR22" s="215"/>
      <c r="AS22" s="215"/>
      <c r="AT22" s="31"/>
      <c r="AU22" s="278"/>
      <c r="AV22" s="129"/>
      <c r="AW22" s="188"/>
      <c r="AX22" s="31"/>
      <c r="AY22" s="282"/>
      <c r="AZ22" s="283"/>
      <c r="BA22" s="285"/>
      <c r="BB22" s="283"/>
      <c r="BC22" s="284"/>
      <c r="BD22" s="28"/>
      <c r="BE22" s="28"/>
      <c r="BG22" s="217" t="str">
        <f>Horarios!Q21</f>
        <v>Germany</v>
      </c>
      <c r="BH22" s="218">
        <f t="shared" si="0"/>
        <v>0</v>
      </c>
      <c r="BI22" s="218">
        <f>COUNTIF(Pool!$C$130:$C$161,Fixture!BG22)-BJ22-BK22-BL22-BM22-BN22-BO22</f>
        <v>0</v>
      </c>
      <c r="BJ22" s="219">
        <f>COUNTIF(Pool!$C$182:$C$197,Fixture!BG22)-BK22-BL22-BM22-BN22-BO22</f>
        <v>1</v>
      </c>
      <c r="BK22" s="220">
        <f>COUNTIF(Pool!$C$210:$C$217,Fixture!BG22)-BL22-BM22-BN22-BO22</f>
        <v>0</v>
      </c>
      <c r="BL22" s="220">
        <f>COUNTIF(Pool!$C$226:$C$229,Fixture!BG22)-BM22-BN22-BO22</f>
        <v>0</v>
      </c>
      <c r="BM22" s="218">
        <f>COUNTIF(Pool!$C$252,Fixture!BG22)</f>
        <v>0</v>
      </c>
      <c r="BN22" s="218">
        <f>COUNTIF(Pool!$C$251,Fixture!BG22)</f>
        <v>0</v>
      </c>
      <c r="BO22" s="221">
        <f>COUNTIF(Pool!$C$250,Fixture!BG22)</f>
        <v>0</v>
      </c>
    </row>
    <row r="23" spans="1:67">
      <c r="A23" s="31">
        <v>49</v>
      </c>
      <c r="B23" s="276"/>
      <c r="C23" s="199" t="str">
        <f>+MID(INDEX(WORLDCUP!$AA$4:$AA$147,MATCH(A23,WORLDCUP!$AH$4:$AH$147,0)),1,3)</f>
        <v>Sco</v>
      </c>
      <c r="D23" s="200">
        <f>IF(ISBLANK(INDEX(WORLDCUP!$AC$4:$AC$147,MATCH(A23,WORLDCUP!$AH$4:$AH$147,0))),"",INDEX(WORLDCUP!$AC$4:$AC$147,MATCH(A23,WORLDCUP!$AH$4:$AH$147,0)))</f>
        <v>1</v>
      </c>
      <c r="E23" s="200">
        <f>IF(ISBLANK(INDEX(WORLDCUP!$AD$4:$AD$147,MATCH(A23,WORLDCUP!$AH$4:$AH$147,0))),"",INDEX(WORLDCUP!$AD$4:$AD$147,MATCH(A23,WORLDCUP!$AH$4:$AH$147,0)))</f>
        <v>2</v>
      </c>
      <c r="F23" s="201" t="str">
        <f>+MID(INDEX(WORLDCUP!$AF$4:$AF$147,MATCH(A23,WORLDCUP!$AH$4:$AH$147,0)),1,3)</f>
        <v>Bra</v>
      </c>
      <c r="G23" s="222">
        <v>4</v>
      </c>
      <c r="H23" s="231" t="str">
        <f>+MID(INDEX(WORLDCUP!$AL$6:$AL$97,MATCH(L23,WORLDCUP!$AI$6:$AI$97,0)),1,3)</f>
        <v>Hai</v>
      </c>
      <c r="I23" s="232">
        <f>+INDEX(WORLDCUP!$AM$6:$AM$97,MATCH(L23,WORLDCUP!$AI$6:$AI$97,0))</f>
        <v>0</v>
      </c>
      <c r="J23" s="233">
        <f>+INDEX(WORLDCUP!$AT$6:$AT$97,MATCH(L23,WORLDCUP!$AI$6:$AI$97,0))</f>
        <v>-7</v>
      </c>
      <c r="K23" s="234" t="str">
        <f>+INDEX(WORLDCUP!$AR$6:$AR$97,MATCH(L23,WORLDCUP!$AI$6:$AI$97,0))&amp;"-"&amp;INDEX(WORLDCUP!$AS$6:$AS$97,MATCH(L23,WORLDCUP!$AI$6:$AI$97,0))</f>
        <v>0-7</v>
      </c>
      <c r="L23" s="31" t="s">
        <v>86</v>
      </c>
      <c r="M23" s="31">
        <v>61</v>
      </c>
      <c r="N23" s="277"/>
      <c r="O23" s="199" t="str">
        <f>+MID(INDEX(WORLDCUP!$AA$4:$AA$147,MATCH(M23,WORLDCUP!$AH$4:$AH$147,0)),1,3)</f>
        <v>Nor</v>
      </c>
      <c r="P23" s="200">
        <f>IF(ISBLANK(INDEX(WORLDCUP!$AC$4:$AC$147,MATCH(M23,WORLDCUP!$AH$4:$AH$147,0))),"",INDEX(WORLDCUP!$AC$4:$AC$147,MATCH(M23,WORLDCUP!$AH$4:$AH$147,0)))</f>
        <v>1</v>
      </c>
      <c r="Q23" s="200">
        <f>IF(ISBLANK(INDEX(WORLDCUP!$AD$4:$AD$147,MATCH(M23,WORLDCUP!$AH$4:$AH$147,0))),"",INDEX(WORLDCUP!$AD$4:$AD$147,MATCH(M23,WORLDCUP!$AH$4:$AH$147,0)))</f>
        <v>2</v>
      </c>
      <c r="R23" s="201" t="str">
        <f>+MID(INDEX(WORLDCUP!$AF$4:$AF$147,MATCH(M23,WORLDCUP!$AH$4:$AH$147,0)),1,3)</f>
        <v>Fra</v>
      </c>
      <c r="S23" s="222">
        <v>4</v>
      </c>
      <c r="T23" s="231" t="str">
        <f>+MID(INDEX(WORLDCUP!$AL$6:$AL$97,MATCH(X23,WORLDCUP!$AI$6:$AI$97,0)),1,3)</f>
        <v>Ira</v>
      </c>
      <c r="U23" s="232">
        <f>+INDEX(WORLDCUP!$AM$6:$AM$97,MATCH(X23,WORLDCUP!$AI$6:$AI$97,0))</f>
        <v>0</v>
      </c>
      <c r="V23" s="233">
        <f>+INDEX(WORLDCUP!$AT$6:$AT$97,MATCH(X23,WORLDCUP!$AI$6:$AI$97,0))</f>
        <v>-6</v>
      </c>
      <c r="W23" s="234" t="str">
        <f>+INDEX(WORLDCUP!$AR$6:$AR$97,MATCH(X23,WORLDCUP!$AI$6:$AI$97,0))&amp;"-"&amp;INDEX(WORLDCUP!$AS$6:$AS$97,MATCH(X23,WORLDCUP!$AI$6:$AI$97,0))</f>
        <v>0-6</v>
      </c>
      <c r="X23" s="31" t="s">
        <v>113</v>
      </c>
      <c r="Y23" s="31"/>
      <c r="Z23" s="180"/>
      <c r="AA23" s="224"/>
      <c r="AB23" s="224"/>
      <c r="AC23" s="225"/>
      <c r="AD23" s="31">
        <v>94</v>
      </c>
      <c r="AE23" s="211" t="str">
        <f>+MID(INDEX(WORLDCUP!$AF$101:$AF$147,MATCH(AD23,WORLDCUP!$Z$101:$Z$147,0)),1,3)</f>
        <v>Bel</v>
      </c>
      <c r="AF23" s="212">
        <f>+IF(ISBLANK(INDEX(WORLDCUP!$AD$101:$AD$147,MATCH(AD23,WORLDCUP!$Z$101:$Z$147,0))),"",INDEX(WORLDCUP!$AD$101:$AD$147,MATCH(AD23,WORLDCUP!$Z$101:$Z$147,0)))</f>
        <v>3</v>
      </c>
      <c r="AG23" s="229" t="str">
        <f>+IF(ISBLANK(INDEX(WORLDCUP!$AE$101:$AE$147,MATCH(AD23,WORLDCUP!$Z$101:$Z$147,0))),"","( "&amp;INDEX(WORLDCUP!$AE$101:$AE$147,MATCH(AD23,WORLDCUP!$Z$101:$Z$147,0))&amp;" )")</f>
        <v/>
      </c>
      <c r="AH23" s="31"/>
      <c r="AI23" s="214"/>
      <c r="AJ23" s="214"/>
      <c r="AK23" s="214"/>
      <c r="AL23" s="31"/>
      <c r="AM23" s="186"/>
      <c r="AN23" s="186"/>
      <c r="AO23" s="267"/>
      <c r="AP23" s="170"/>
      <c r="AQ23" s="215"/>
      <c r="AR23" s="215"/>
      <c r="AS23" s="215"/>
      <c r="AT23" s="31"/>
      <c r="AU23" s="188"/>
      <c r="AV23" s="188"/>
      <c r="AW23" s="188"/>
      <c r="AX23" s="31"/>
      <c r="AY23" s="282"/>
      <c r="AZ23" s="283"/>
      <c r="BA23" s="285"/>
      <c r="BB23" s="283" t="str">
        <f>+WORLDCUP!AA151</f>
        <v>Spain</v>
      </c>
      <c r="BC23" s="284"/>
      <c r="BD23" s="28"/>
      <c r="BE23" s="28"/>
      <c r="BG23" s="217" t="str">
        <f>Horarios!Q22</f>
        <v>Ghana</v>
      </c>
      <c r="BH23" s="218">
        <f t="shared" si="0"/>
        <v>0</v>
      </c>
      <c r="BI23" s="218">
        <f>COUNTIF(Pool!$C$130:$C$161,Fixture!BG23)-BJ23-BK23-BL23-BM23-BN23-BO23</f>
        <v>1</v>
      </c>
      <c r="BJ23" s="219">
        <f>COUNTIF(Pool!$C$182:$C$197,Fixture!BG23)-BK23-BL23-BM23-BN23-BO23</f>
        <v>0</v>
      </c>
      <c r="BK23" s="220">
        <f>COUNTIF(Pool!$C$210:$C$217,Fixture!BG23)-BL23-BM23-BN23-BO23</f>
        <v>0</v>
      </c>
      <c r="BL23" s="220">
        <f>COUNTIF(Pool!$C$226:$C$229,Fixture!BG23)-BM23-BN23-BO23</f>
        <v>0</v>
      </c>
      <c r="BM23" s="218">
        <f>COUNTIF(Pool!$C$252,Fixture!BG23)</f>
        <v>0</v>
      </c>
      <c r="BN23" s="218">
        <f>COUNTIF(Pool!$C$251,Fixture!BG23)</f>
        <v>0</v>
      </c>
      <c r="BO23" s="221">
        <f>COUNTIF(Pool!$C$250,Fixture!BG23)</f>
        <v>0</v>
      </c>
    </row>
    <row r="24" spans="1:67" ht="16.149999999999999" customHeight="1" thickBot="1">
      <c r="A24" s="31">
        <v>50</v>
      </c>
      <c r="B24" s="286"/>
      <c r="C24" s="242" t="str">
        <f>+MID(INDEX(WORLDCUP!$AA$4:$AA$147,MATCH(A24,WORLDCUP!$AH$4:$AH$147,0)),1,3)</f>
        <v>Mor</v>
      </c>
      <c r="D24" s="243">
        <f>IF(ISBLANK(INDEX(WORLDCUP!$AC$4:$AC$147,MATCH(A24,WORLDCUP!$AH$4:$AH$147,0))),"",INDEX(WORLDCUP!$AC$4:$AC$147,MATCH(A24,WORLDCUP!$AH$4:$AH$147,0)))</f>
        <v>2</v>
      </c>
      <c r="E24" s="243">
        <f>IF(ISBLANK(INDEX(WORLDCUP!$AD$4:$AD$147,MATCH(A24,WORLDCUP!$AH$4:$AH$147,0))),"",INDEX(WORLDCUP!$AD$4:$AD$147,MATCH(A24,WORLDCUP!$AH$4:$AH$147,0)))</f>
        <v>0</v>
      </c>
      <c r="F24" s="244" t="str">
        <f>+MID(INDEX(WORLDCUP!$AF$4:$AF$147,MATCH(A24,WORLDCUP!$AH$4:$AH$147,0)),1,3)</f>
        <v>Hai</v>
      </c>
      <c r="G24" s="245"/>
      <c r="H24" s="245"/>
      <c r="I24" s="246"/>
      <c r="J24" s="246"/>
      <c r="K24" s="247"/>
      <c r="L24" s="31"/>
      <c r="M24" s="31">
        <v>62</v>
      </c>
      <c r="N24" s="287"/>
      <c r="O24" s="242" t="str">
        <f>+MID(INDEX(WORLDCUP!$AA$4:$AA$147,MATCH(M24,WORLDCUP!$AH$4:$AH$147,0)),1,3)</f>
        <v>Sen</v>
      </c>
      <c r="P24" s="243">
        <f>IF(ISBLANK(INDEX(WORLDCUP!$AC$4:$AC$147,MATCH(M24,WORLDCUP!$AH$4:$AH$147,0))),"",INDEX(WORLDCUP!$AC$4:$AC$147,MATCH(M24,WORLDCUP!$AH$4:$AH$147,0)))</f>
        <v>1</v>
      </c>
      <c r="Q24" s="243">
        <f>IF(ISBLANK(INDEX(WORLDCUP!$AD$4:$AD$147,MATCH(M24,WORLDCUP!$AH$4:$AH$147,0))),"",INDEX(WORLDCUP!$AD$4:$AD$147,MATCH(M24,WORLDCUP!$AH$4:$AH$147,0)))</f>
        <v>0</v>
      </c>
      <c r="R24" s="244" t="str">
        <f>+MID(INDEX(WORLDCUP!$AF$4:$AF$147,MATCH(M24,WORLDCUP!$AH$4:$AH$147,0)),1,3)</f>
        <v>Ira</v>
      </c>
      <c r="S24" s="245"/>
      <c r="T24" s="245"/>
      <c r="U24" s="246"/>
      <c r="V24" s="246"/>
      <c r="W24" s="247"/>
      <c r="X24" s="31"/>
      <c r="Y24" s="31">
        <v>82</v>
      </c>
      <c r="Z24" s="180" t="s">
        <v>101</v>
      </c>
      <c r="AA24" s="181" t="str">
        <f>+MID(INDEX(WORLDCUP!$AA$101:$AA$147,MATCH(Y24,WORLDCUP!$Z$101:$Z$147,0)),1,3)</f>
        <v>Bel</v>
      </c>
      <c r="AB24" s="227">
        <f>+IF(ISBLANK(INDEX(WORLDCUP!$AC$101:$AC$147,MATCH(Y24,WORLDCUP!$Z$101:$Z$147,0))),"",INDEX(WORLDCUP!$AC$101:$AC$147,MATCH(Y24,WORLDCUP!$Z$101:$Z$147,0)))</f>
        <v>2</v>
      </c>
      <c r="AC24" s="261" t="str">
        <f>+IF(ISBLANK(INDEX(WORLDCUP!$AB$101:$AB$147,MATCH(Y24,WORLDCUP!$Z$101:$Z$147,0))),"","( "&amp;INDEX(WORLDCUP!$AB$101:$AB$147,MATCH(Y24,WORLDCUP!$Z$101:$Z$147,0))&amp;" )")</f>
        <v/>
      </c>
      <c r="AD24" s="31"/>
      <c r="AE24" s="184"/>
      <c r="AF24" s="184"/>
      <c r="AG24" s="184"/>
      <c r="AH24" s="31"/>
      <c r="AI24" s="214"/>
      <c r="AJ24" s="214"/>
      <c r="AK24" s="214"/>
      <c r="AL24" s="31"/>
      <c r="AM24" s="186"/>
      <c r="AN24" s="186"/>
      <c r="AO24" s="267"/>
      <c r="AP24" s="170"/>
      <c r="AQ24" s="215"/>
      <c r="AR24" s="215"/>
      <c r="AS24" s="215"/>
      <c r="AT24" s="31"/>
      <c r="AU24" s="188"/>
      <c r="AV24" s="188"/>
      <c r="AW24" s="188"/>
      <c r="AX24" s="31"/>
      <c r="AY24" s="282"/>
      <c r="AZ24" s="283"/>
      <c r="BA24" s="285"/>
      <c r="BB24" s="288"/>
      <c r="BC24" s="284"/>
      <c r="BD24" s="28"/>
      <c r="BE24" s="28"/>
      <c r="BG24" s="217" t="str">
        <f>Horarios!Q23</f>
        <v>Haiti</v>
      </c>
      <c r="BH24" s="218">
        <f t="shared" si="0"/>
        <v>1</v>
      </c>
      <c r="BI24" s="218">
        <f>COUNTIF(Pool!$C$130:$C$161,Fixture!BG24)-BJ24-BK24-BL24-BM24-BN24-BO24</f>
        <v>0</v>
      </c>
      <c r="BJ24" s="219">
        <f>COUNTIF(Pool!$C$182:$C$197,Fixture!BG24)-BK24-BL24-BM24-BN24-BO24</f>
        <v>0</v>
      </c>
      <c r="BK24" s="220">
        <f>COUNTIF(Pool!$C$210:$C$217,Fixture!BG24)-BL24-BM24-BN24-BO24</f>
        <v>0</v>
      </c>
      <c r="BL24" s="220">
        <f>COUNTIF(Pool!$C$226:$C$229,Fixture!BG24)-BM24-BN24-BO24</f>
        <v>0</v>
      </c>
      <c r="BM24" s="218">
        <f>COUNTIF(Pool!$C$252,Fixture!BG24)</f>
        <v>0</v>
      </c>
      <c r="BN24" s="218">
        <f>COUNTIF(Pool!$C$251,Fixture!BG24)</f>
        <v>0</v>
      </c>
      <c r="BO24" s="221">
        <f>COUNTIF(Pool!$C$250,Fixture!BG24)</f>
        <v>0</v>
      </c>
    </row>
    <row r="25" spans="1:67" ht="16.149999999999999" customHeight="1" thickBot="1">
      <c r="A25" s="31"/>
      <c r="B25" s="166"/>
      <c r="C25" s="251"/>
      <c r="D25" s="252"/>
      <c r="E25" s="252"/>
      <c r="F25" s="28"/>
      <c r="G25" s="28"/>
      <c r="H25" s="251"/>
      <c r="I25" s="28"/>
      <c r="J25" s="28"/>
      <c r="K25" s="28"/>
      <c r="L25" s="31"/>
      <c r="M25" s="31"/>
      <c r="N25" s="27"/>
      <c r="O25" s="28"/>
      <c r="P25" s="28"/>
      <c r="Q25" s="28"/>
      <c r="R25" s="28"/>
      <c r="S25" s="28"/>
      <c r="T25" s="28"/>
      <c r="U25" s="28"/>
      <c r="V25" s="28"/>
      <c r="W25" s="28"/>
      <c r="X25" s="31"/>
      <c r="Y25" s="31">
        <v>82</v>
      </c>
      <c r="Z25" s="180" t="s">
        <v>164</v>
      </c>
      <c r="AA25" s="235" t="str">
        <f>+MID(INDEX(WORLDCUP!$AF$101:$AF$147,MATCH(Y25,WORLDCUP!$Z$101:$Z$147,0)),1,IF(WORLDCUP!$H$113&lt;144,6,3))</f>
        <v>Mex</v>
      </c>
      <c r="AB25" s="236">
        <f>+IF(ISBLANK(INDEX(WORLDCUP!$AD$101:$AD$147,MATCH(Y25,WORLDCUP!$Z$101:$Z$147,0))),"",INDEX(WORLDCUP!$AD$101:$AD$147,MATCH(Y25,WORLDCUP!$Z$101:$Z$147,0)))</f>
        <v>1</v>
      </c>
      <c r="AC25" s="262" t="str">
        <f>+IF(ISBLANK(INDEX(WORLDCUP!$AE$101:$AE$147,MATCH(Y25,WORLDCUP!$Z$101:$Z$147,0))),"","( "&amp;INDEX(WORLDCUP!$AE$101:$AE$147,MATCH(Y25,WORLDCUP!$Z$101:$Z$147,0))&amp;" )")</f>
        <v/>
      </c>
      <c r="AD25" s="31"/>
      <c r="AE25" s="184"/>
      <c r="AF25" s="184"/>
      <c r="AG25" s="184"/>
      <c r="AH25" s="31"/>
      <c r="AI25" s="214"/>
      <c r="AJ25" s="214"/>
      <c r="AK25" s="214"/>
      <c r="AL25" s="31"/>
      <c r="AM25" s="186"/>
      <c r="AN25" s="186"/>
      <c r="AO25" s="267"/>
      <c r="AP25" s="289"/>
      <c r="AQ25" s="290"/>
      <c r="AR25" s="290"/>
      <c r="AS25" s="290"/>
      <c r="AT25" s="291">
        <v>104</v>
      </c>
      <c r="AU25" s="292" t="str">
        <f>+MID(INDEX(WORLDCUP!$AA$101:$AA$147,MATCH(AT25,WORLDCUP!$Z$101:$Z$147,0)),1,4)</f>
        <v>Spai</v>
      </c>
      <c r="AV25" s="293">
        <f>+IF(ISBLANK(INDEX(WORLDCUP!$AC$101:$AC$147,MATCH(AT25,WORLDCUP!$Z$101:$Z$147,0))),"",INDEX(WORLDCUP!$AC$101:$AC$147,MATCH(AT25,WORLDCUP!$Z$101:$Z$147,0)))</f>
        <v>2</v>
      </c>
      <c r="AW25" s="294" t="str">
        <f>+IF(ISBLANK(INDEX(WORLDCUP!$AB$101:$AB$147,MATCH(AT25,WORLDCUP!$Z$101:$Z$147,0))),"","( "&amp;INDEX(WORLDCUP!$AB$101:$AB$147,MATCH(AT25,WORLDCUP!$Z$101:$Z$147,0))&amp;" )")</f>
        <v/>
      </c>
      <c r="AX25" s="295"/>
      <c r="AY25" s="282"/>
      <c r="AZ25" s="283" t="str">
        <f>+WORLDCUP!AA152</f>
        <v>England</v>
      </c>
      <c r="BA25" s="285"/>
      <c r="BB25" s="288"/>
      <c r="BC25" s="284"/>
      <c r="BD25" s="28"/>
      <c r="BE25" s="28"/>
      <c r="BG25" s="217" t="str">
        <f>Horarios!Q24</f>
        <v>Iran</v>
      </c>
      <c r="BH25" s="218">
        <f t="shared" si="0"/>
        <v>0</v>
      </c>
      <c r="BI25" s="218">
        <f>COUNTIF(Pool!$C$130:$C$161,Fixture!BG25)-BJ25-BK25-BL25-BM25-BN25-BO25</f>
        <v>1</v>
      </c>
      <c r="BJ25" s="219">
        <f>COUNTIF(Pool!$C$182:$C$197,Fixture!BG25)-BK25-BL25-BM25-BN25-BO25</f>
        <v>0</v>
      </c>
      <c r="BK25" s="220">
        <f>COUNTIF(Pool!$C$210:$C$217,Fixture!BG25)-BL25-BM25-BN25-BO25</f>
        <v>0</v>
      </c>
      <c r="BL25" s="220">
        <f>COUNTIF(Pool!$C$226:$C$229,Fixture!BG25)-BM25-BN25-BO25</f>
        <v>0</v>
      </c>
      <c r="BM25" s="218">
        <f>COUNTIF(Pool!$C$252,Fixture!BG25)</f>
        <v>0</v>
      </c>
      <c r="BN25" s="218">
        <f>COUNTIF(Pool!$C$251,Fixture!BG25)</f>
        <v>0</v>
      </c>
      <c r="BO25" s="221">
        <f>COUNTIF(Pool!$C$250,Fixture!BG25)</f>
        <v>0</v>
      </c>
    </row>
    <row r="26" spans="1:67" ht="16.149999999999999" customHeight="1" thickBot="1">
      <c r="A26" s="31"/>
      <c r="B26" s="166"/>
      <c r="C26" s="251"/>
      <c r="D26" s="252"/>
      <c r="E26" s="252"/>
      <c r="F26" s="28"/>
      <c r="G26" s="28"/>
      <c r="H26" s="251"/>
      <c r="I26" s="28"/>
      <c r="J26" s="28"/>
      <c r="K26" s="28"/>
      <c r="L26" s="31"/>
      <c r="M26" s="31"/>
      <c r="N26" s="27"/>
      <c r="O26" s="28"/>
      <c r="P26" s="28"/>
      <c r="Q26" s="28"/>
      <c r="R26" s="28"/>
      <c r="S26" s="28"/>
      <c r="T26" s="28"/>
      <c r="U26" s="28"/>
      <c r="V26" s="28"/>
      <c r="W26" s="28"/>
      <c r="X26" s="31"/>
      <c r="Y26" s="31"/>
      <c r="Z26" s="180"/>
      <c r="AA26" s="249"/>
      <c r="AB26" s="249"/>
      <c r="AC26" s="249"/>
      <c r="AD26" s="31"/>
      <c r="AE26" s="184"/>
      <c r="AF26" s="184"/>
      <c r="AG26" s="229"/>
      <c r="AH26" s="31"/>
      <c r="AI26" s="214"/>
      <c r="AJ26" s="214"/>
      <c r="AK26" s="214"/>
      <c r="AL26" s="31"/>
      <c r="AM26" s="186"/>
      <c r="AN26" s="186"/>
      <c r="AO26" s="267"/>
      <c r="AP26" s="31"/>
      <c r="AQ26" s="215"/>
      <c r="AR26" s="215"/>
      <c r="AS26" s="215"/>
      <c r="AT26" s="31">
        <v>104</v>
      </c>
      <c r="AU26" s="292" t="str">
        <f>+MID(INDEX(WORLDCUP!$AF$101:$AF$147,MATCH(AT26,WORLDCUP!$Z$101:$Z$147,0)),1,4)</f>
        <v>Port</v>
      </c>
      <c r="AV26" s="293">
        <f>+IF(ISBLANK(INDEX(WORLDCUP!$AD$101:$AD$147,MATCH(AT26,WORLDCUP!$Z$101:$Z$147,0))),"",INDEX(WORLDCUP!$AD$101:$AD$147,MATCH(AT26,WORLDCUP!$Z$101:$Z$147,0)))</f>
        <v>3</v>
      </c>
      <c r="AW26" s="188" t="str">
        <f>+IF(ISBLANK(INDEX(WORLDCUP!$AE$101:$AE$147,MATCH(AT26,WORLDCUP!$Z$101:$Z$147,0))),"","( "&amp;INDEX(WORLDCUP!$AE$101:$AE$147,MATCH(AT26,WORLDCUP!$Z$101:$Z$147,0))&amp;" )")</f>
        <v/>
      </c>
      <c r="AX26" s="31"/>
      <c r="AY26" s="282"/>
      <c r="AZ26" s="296"/>
      <c r="BA26" s="285"/>
      <c r="BB26" s="288"/>
      <c r="BC26" s="284"/>
      <c r="BD26" s="28"/>
      <c r="BE26" s="28"/>
      <c r="BG26" s="217" t="str">
        <f>Horarios!Q25</f>
        <v>Iraq</v>
      </c>
      <c r="BH26" s="218">
        <f t="shared" si="0"/>
        <v>1</v>
      </c>
      <c r="BI26" s="218">
        <f>COUNTIF(Pool!$C$130:$C$161,Fixture!BG26)-BJ26-BK26-BL26-BM26-BN26-BO26</f>
        <v>0</v>
      </c>
      <c r="BJ26" s="219">
        <f>COUNTIF(Pool!$C$182:$C$197,Fixture!BG26)-BK26-BL26-BM26-BN26-BO26</f>
        <v>0</v>
      </c>
      <c r="BK26" s="220">
        <f>COUNTIF(Pool!$C$210:$C$217,Fixture!BG26)-BL26-BM26-BN26-BO26</f>
        <v>0</v>
      </c>
      <c r="BL26" s="220">
        <f>COUNTIF(Pool!$C$226:$C$229,Fixture!BG26)-BM26-BN26-BO26</f>
        <v>0</v>
      </c>
      <c r="BM26" s="218">
        <f>COUNTIF(Pool!$C$252,Fixture!BG26)</f>
        <v>0</v>
      </c>
      <c r="BN26" s="218">
        <f>COUNTIF(Pool!$C$251,Fixture!BG26)</f>
        <v>0</v>
      </c>
      <c r="BO26" s="221">
        <f>COUNTIF(Pool!$C$250,Fixture!BG26)</f>
        <v>0</v>
      </c>
    </row>
    <row r="27" spans="1:67" ht="16.149999999999999" customHeight="1" thickBot="1">
      <c r="A27" s="31">
        <v>4</v>
      </c>
      <c r="B27" s="297" t="s">
        <v>98</v>
      </c>
      <c r="C27" s="172" t="str">
        <f>+MID(INDEX(WORLDCUP!$AA$4:$AA$147,MATCH(A27,WORLDCUP!$AH$4:$AH$147,0)),1,3)</f>
        <v>Uni</v>
      </c>
      <c r="D27" s="173">
        <f>IF(ISBLANK(INDEX(WORLDCUP!$AC$4:$AC$147,MATCH(A27,WORLDCUP!$AH$4:$AH$147,0))),"",INDEX(WORLDCUP!$AC$4:$AC$147,MATCH(A27,WORLDCUP!$AH$4:$AH$147,0)))</f>
        <v>1</v>
      </c>
      <c r="E27" s="173">
        <f>IF(ISBLANK(INDEX(WORLDCUP!$AD$4:$AD$147,MATCH(A27,WORLDCUP!$AH$4:$AH$147,0))),"",INDEX(WORLDCUP!$AD$4:$AD$147,MATCH(A27,WORLDCUP!$AH$4:$AH$147,0)))</f>
        <v>0</v>
      </c>
      <c r="F27" s="174" t="str">
        <f>+MID(INDEX(WORLDCUP!$AF$4:$AF$147,MATCH(A27,WORLDCUP!$AH$4:$AH$147,0)),1,3)</f>
        <v>Par</v>
      </c>
      <c r="G27" s="175"/>
      <c r="H27" s="176" t="str">
        <f>+H19</f>
        <v>Nat</v>
      </c>
      <c r="I27" s="177" t="str">
        <f>+I19</f>
        <v>Pts</v>
      </c>
      <c r="J27" s="177" t="str">
        <f>+J19</f>
        <v>GD</v>
      </c>
      <c r="K27" s="178" t="str">
        <f>+K19</f>
        <v>F-A</v>
      </c>
      <c r="L27" s="31"/>
      <c r="M27" s="31">
        <v>19</v>
      </c>
      <c r="N27" s="298" t="s">
        <v>132</v>
      </c>
      <c r="O27" s="172" t="str">
        <f>+MID(INDEX(WORLDCUP!$AA$4:$AA$147,MATCH(M27,WORLDCUP!$AH$4:$AH$147,0)),1,3)</f>
        <v>Arg</v>
      </c>
      <c r="P27" s="173">
        <f>IF(ISBLANK(INDEX(WORLDCUP!$AC$4:$AC$147,MATCH(M27,WORLDCUP!$AH$4:$AH$147,0))),"",INDEX(WORLDCUP!$AC$4:$AC$147,MATCH(M27,WORLDCUP!$AH$4:$AH$147,0)))</f>
        <v>2</v>
      </c>
      <c r="Q27" s="173">
        <f>IF(ISBLANK(INDEX(WORLDCUP!$AD$4:$AD$147,MATCH(M27,WORLDCUP!$AH$4:$AH$147,0))),"",INDEX(WORLDCUP!$AD$4:$AD$147,MATCH(M27,WORLDCUP!$AH$4:$AH$147,0)))</f>
        <v>0</v>
      </c>
      <c r="R27" s="174" t="str">
        <f>+MID(INDEX(WORLDCUP!$AF$4:$AF$147,MATCH(M27,WORLDCUP!$AH$4:$AH$147,0)),1,3)</f>
        <v>Alg</v>
      </c>
      <c r="S27" s="175"/>
      <c r="T27" s="176" t="str">
        <f>+T19</f>
        <v>Nat</v>
      </c>
      <c r="U27" s="177" t="str">
        <f>+U19</f>
        <v>Pts</v>
      </c>
      <c r="V27" s="177" t="str">
        <f>+V19</f>
        <v>GD</v>
      </c>
      <c r="W27" s="178" t="str">
        <f>+W19</f>
        <v>F-A</v>
      </c>
      <c r="X27" s="31"/>
      <c r="Y27" s="31">
        <v>76</v>
      </c>
      <c r="Z27" s="180" t="s">
        <v>83</v>
      </c>
      <c r="AA27" s="181" t="str">
        <f>+MID(INDEX(WORLDCUP!$AA$101:$AA$147,MATCH(Y27,WORLDCUP!$Z$101:$Z$147,0)),1,3)</f>
        <v>Bra</v>
      </c>
      <c r="AB27" s="182">
        <f>+IF(ISBLANK(INDEX(WORLDCUP!$AC$101:$AC$147,MATCH(Y27,WORLDCUP!$Z$101:$Z$147,0))),"",INDEX(WORLDCUP!$AC$101:$AC$147,MATCH(Y27,WORLDCUP!$Z$101:$Z$147,0)))</f>
        <v>2</v>
      </c>
      <c r="AC27" s="253" t="str">
        <f>+IF(ISBLANK(INDEX(WORLDCUP!$AB$101:$AB$147,MATCH(Y27,WORLDCUP!$Z$101:$Z$147,0))),"","( "&amp;INDEX(WORLDCUP!$AB$101:$AB$147,MATCH(Y27,WORLDCUP!$Z$101:$Z$147,0))&amp;" )")</f>
        <v/>
      </c>
      <c r="AD27" s="30"/>
      <c r="AE27" s="184"/>
      <c r="AF27" s="184"/>
      <c r="AG27" s="184"/>
      <c r="AH27" s="31"/>
      <c r="AI27" s="214"/>
      <c r="AJ27" s="214"/>
      <c r="AK27" s="214"/>
      <c r="AL27" s="31"/>
      <c r="AM27" s="186"/>
      <c r="AN27" s="186"/>
      <c r="AO27" s="267"/>
      <c r="AP27" s="170"/>
      <c r="AQ27" s="215"/>
      <c r="AR27" s="215"/>
      <c r="AS27" s="215"/>
      <c r="AT27" s="31"/>
      <c r="AU27" s="188"/>
      <c r="AV27" s="188"/>
      <c r="AW27" s="188"/>
      <c r="AX27" s="31"/>
      <c r="AY27" s="282"/>
      <c r="AZ27" s="296"/>
      <c r="BA27" s="285"/>
      <c r="BB27" s="288"/>
      <c r="BC27" s="284"/>
      <c r="BD27" s="28"/>
      <c r="BE27" s="28"/>
      <c r="BG27" s="217" t="str">
        <f>Horarios!Q26</f>
        <v>Ivory Coast</v>
      </c>
      <c r="BH27" s="218">
        <f t="shared" si="0"/>
        <v>1</v>
      </c>
      <c r="BI27" s="218">
        <f>COUNTIF(Pool!$C$130:$C$161,Fixture!BG27)-BJ27-BK27-BL27-BM27-BN27-BO27</f>
        <v>0</v>
      </c>
      <c r="BJ27" s="219">
        <f>COUNTIF(Pool!$C$182:$C$197,Fixture!BG27)-BK27-BL27-BM27-BN27-BO27</f>
        <v>0</v>
      </c>
      <c r="BK27" s="220">
        <f>COUNTIF(Pool!$C$210:$C$217,Fixture!BG27)-BL27-BM27-BN27-BO27</f>
        <v>0</v>
      </c>
      <c r="BL27" s="220">
        <f>COUNTIF(Pool!$C$226:$C$229,Fixture!BG27)-BM27-BN27-BO27</f>
        <v>0</v>
      </c>
      <c r="BM27" s="218">
        <f>COUNTIF(Pool!$C$252,Fixture!BG27)</f>
        <v>0</v>
      </c>
      <c r="BN27" s="218">
        <f>COUNTIF(Pool!$C$251,Fixture!BG27)</f>
        <v>0</v>
      </c>
      <c r="BO27" s="221">
        <f>COUNTIF(Pool!$C$250,Fixture!BG27)</f>
        <v>0</v>
      </c>
    </row>
    <row r="28" spans="1:67" ht="16.149999999999999" customHeight="1" thickBot="1">
      <c r="A28" s="31">
        <v>6</v>
      </c>
      <c r="B28" s="299"/>
      <c r="C28" s="199" t="str">
        <f>+MID(INDEX(WORLDCUP!$AA$4:$AA$147,MATCH(A28,WORLDCUP!$AH$4:$AH$147,0)),1,3)</f>
        <v>Aus</v>
      </c>
      <c r="D28" s="200">
        <f>IF(ISBLANK(INDEX(WORLDCUP!$AC$4:$AC$147,MATCH(A28,WORLDCUP!$AH$4:$AH$147,0))),"",INDEX(WORLDCUP!$AC$4:$AC$147,MATCH(A28,WORLDCUP!$AH$4:$AH$147,0)))</f>
        <v>0</v>
      </c>
      <c r="E28" s="200">
        <f>IF(ISBLANK(INDEX(WORLDCUP!$AD$4:$AD$147,MATCH(A28,WORLDCUP!$AH$4:$AH$147,0))),"",INDEX(WORLDCUP!$AD$4:$AD$147,MATCH(A28,WORLDCUP!$AH$4:$AH$147,0)))</f>
        <v>2</v>
      </c>
      <c r="F28" s="201" t="str">
        <f>+MID(INDEX(WORLDCUP!$AF$4:$AF$147,MATCH(A28,WORLDCUP!$AH$4:$AH$147,0)),1,3)</f>
        <v>Tur</v>
      </c>
      <c r="G28" s="202">
        <v>1</v>
      </c>
      <c r="H28" s="203" t="str">
        <f>+MID(INDEX(WORLDCUP!$AL$6:$AL$97,MATCH(L28,WORLDCUP!$AI$6:$AI$97,0)),1,3)</f>
        <v>Tur</v>
      </c>
      <c r="I28" s="204">
        <f>+INDEX(WORLDCUP!$AM$6:$AM$97,MATCH(L28,WORLDCUP!$AI$6:$AI$97,0))</f>
        <v>7</v>
      </c>
      <c r="J28" s="205">
        <f>+INDEX(WORLDCUP!$AT$6:$AT$97,MATCH(L28,WORLDCUP!$AI$6:$AI$97,0))</f>
        <v>4</v>
      </c>
      <c r="K28" s="206" t="str">
        <f>+INDEX(WORLDCUP!$AR$6:$AR$97,MATCH(L28,WORLDCUP!$AI$6:$AI$97,0))&amp;"-"&amp;INDEX(WORLDCUP!$AS$6:$AS$97,MATCH(L28,WORLDCUP!$AI$6:$AI$97,0))</f>
        <v>5-1</v>
      </c>
      <c r="L28" s="31" t="s">
        <v>87</v>
      </c>
      <c r="M28" s="31">
        <v>20</v>
      </c>
      <c r="N28" s="300"/>
      <c r="O28" s="199" t="str">
        <f>+MID(INDEX(WORLDCUP!$AA$4:$AA$147,MATCH(M28,WORLDCUP!$AH$4:$AH$147,0)),1,3)</f>
        <v>Aus</v>
      </c>
      <c r="P28" s="200">
        <f>IF(ISBLANK(INDEX(WORLDCUP!$AC$4:$AC$147,MATCH(M28,WORLDCUP!$AH$4:$AH$147,0))),"",INDEX(WORLDCUP!$AC$4:$AC$147,MATCH(M28,WORLDCUP!$AH$4:$AH$147,0)))</f>
        <v>1</v>
      </c>
      <c r="Q28" s="200">
        <f>IF(ISBLANK(INDEX(WORLDCUP!$AD$4:$AD$147,MATCH(M28,WORLDCUP!$AH$4:$AH$147,0))),"",INDEX(WORLDCUP!$AD$4:$AD$147,MATCH(M28,WORLDCUP!$AH$4:$AH$147,0)))</f>
        <v>0</v>
      </c>
      <c r="R28" s="201" t="str">
        <f>+MID(INDEX(WORLDCUP!$AF$4:$AF$147,MATCH(M28,WORLDCUP!$AH$4:$AH$147,0)),1,3)</f>
        <v>Jor</v>
      </c>
      <c r="S28" s="202">
        <v>1</v>
      </c>
      <c r="T28" s="203" t="str">
        <f>+MID(INDEX(WORLDCUP!$AL$6:$AL$97,MATCH(X28,WORLDCUP!$AI$6:$AI$97,0)),1,3)</f>
        <v>Arg</v>
      </c>
      <c r="U28" s="204">
        <f>+INDEX(WORLDCUP!$AM$6:$AM$97,MATCH(X28,WORLDCUP!$AI$6:$AI$97,0))</f>
        <v>9</v>
      </c>
      <c r="V28" s="205">
        <f>+INDEX(WORLDCUP!$AT$6:$AT$97,MATCH(X28,WORLDCUP!$AI$6:$AI$97,0))</f>
        <v>5</v>
      </c>
      <c r="W28" s="206" t="str">
        <f>+INDEX(WORLDCUP!$AR$6:$AR$97,MATCH(X28,WORLDCUP!$AI$6:$AI$97,0))&amp;"-"&amp;INDEX(WORLDCUP!$AS$6:$AS$97,MATCH(X28,WORLDCUP!$AI$6:$AI$97,0))</f>
        <v>6-1</v>
      </c>
      <c r="X28" s="31" t="s">
        <v>114</v>
      </c>
      <c r="Y28" s="31">
        <v>76</v>
      </c>
      <c r="Z28" s="180" t="s">
        <v>97</v>
      </c>
      <c r="AA28" s="181" t="str">
        <f>+MID(INDEX(WORLDCUP!$AF$101:$AF$147,MATCH(Y28,WORLDCUP!$Z$101:$Z$147,0)),1,3)</f>
        <v>Swe</v>
      </c>
      <c r="AB28" s="208">
        <f>+IF(ISBLANK(INDEX(WORLDCUP!$AD$101:$AD$147,MATCH(Y28,WORLDCUP!$Z$101:$Z$147,0))),"",INDEX(WORLDCUP!$AD$101:$AD$147,MATCH(Y28,WORLDCUP!$Z$101:$Z$147,0)))</f>
        <v>0</v>
      </c>
      <c r="AC28" s="209" t="str">
        <f>+IF(ISBLANK(INDEX(WORLDCUP!$AE$101:$AE$147,MATCH(Y28,WORLDCUP!$Z$101:$Z$147,0))),"","( "&amp;INDEX(WORLDCUP!$AE$101:$AE$147,MATCH(Y28,WORLDCUP!$Z$101:$Z$147,0))&amp;" )")</f>
        <v/>
      </c>
      <c r="AD28" s="210">
        <v>91</v>
      </c>
      <c r="AE28" s="211" t="str">
        <f>+MID(INDEX(WORLDCUP!$AA$101:$AA$147,MATCH(AD28,WORLDCUP!$Z$101:$Z$147,0)),1,3)</f>
        <v>Bra</v>
      </c>
      <c r="AF28" s="212">
        <f>+IF(ISBLANK(INDEX(WORLDCUP!$AC$101:$AC$147,MATCH(AD28,WORLDCUP!$Z$101:$Z$147,0))),"",INDEX(WORLDCUP!$AC$101:$AC$147,MATCH(AD28,WORLDCUP!$Z$101:$Z$147,0)))</f>
        <v>1</v>
      </c>
      <c r="AG28" s="213" t="str">
        <f>+IF(ISBLANK(INDEX(WORLDCUP!$AB$101:$AB$147,MATCH(AD28,WORLDCUP!$Z$101:$Z$147,0))),"","( "&amp;INDEX(WORLDCUP!$AB$101:$AB$147,MATCH(AD28,WORLDCUP!$Z$101:$Z$147,0))&amp;" )")</f>
        <v/>
      </c>
      <c r="AH28" s="31"/>
      <c r="AI28" s="214"/>
      <c r="AJ28" s="214"/>
      <c r="AK28" s="214"/>
      <c r="AL28" s="31"/>
      <c r="AM28" s="186"/>
      <c r="AN28" s="186"/>
      <c r="AO28" s="267"/>
      <c r="AP28" s="170"/>
      <c r="AQ28" s="215"/>
      <c r="AR28" s="215"/>
      <c r="AS28" s="215"/>
      <c r="AT28" s="31"/>
      <c r="AU28" s="188"/>
      <c r="AV28" s="188"/>
      <c r="AW28" s="188"/>
      <c r="AX28" s="31"/>
      <c r="AY28" s="282"/>
      <c r="AZ28" s="296"/>
      <c r="BA28" s="285"/>
      <c r="BB28" s="288"/>
      <c r="BC28" s="284"/>
      <c r="BD28" s="28"/>
      <c r="BE28" s="28"/>
      <c r="BG28" s="217" t="str">
        <f>Horarios!Q27</f>
        <v>Japan</v>
      </c>
      <c r="BH28" s="218">
        <f t="shared" si="0"/>
        <v>0</v>
      </c>
      <c r="BI28" s="218">
        <f>COUNTIF(Pool!$C$130:$C$161,Fixture!BG28)-BJ28-BK28-BL28-BM28-BN28-BO28</f>
        <v>1</v>
      </c>
      <c r="BJ28" s="219">
        <f>COUNTIF(Pool!$C$182:$C$197,Fixture!BG28)-BK28-BL28-BM28-BN28-BO28</f>
        <v>0</v>
      </c>
      <c r="BK28" s="220">
        <f>COUNTIF(Pool!$C$210:$C$217,Fixture!BG28)-BL28-BM28-BN28-BO28</f>
        <v>0</v>
      </c>
      <c r="BL28" s="220">
        <f>COUNTIF(Pool!$C$226:$C$229,Fixture!BG28)-BM28-BN28-BO28</f>
        <v>0</v>
      </c>
      <c r="BM28" s="218">
        <f>COUNTIF(Pool!$C$252,Fixture!BG28)</f>
        <v>0</v>
      </c>
      <c r="BN28" s="218">
        <f>COUNTIF(Pool!$C$251,Fixture!BG28)</f>
        <v>0</v>
      </c>
      <c r="BO28" s="221">
        <f>COUNTIF(Pool!$C$250,Fixture!BG28)</f>
        <v>0</v>
      </c>
    </row>
    <row r="29" spans="1:67">
      <c r="A29" s="31">
        <v>32</v>
      </c>
      <c r="B29" s="299"/>
      <c r="C29" s="199" t="str">
        <f>+MID(INDEX(WORLDCUP!$AA$4:$AA$147,MATCH(A29,WORLDCUP!$AH$4:$AH$147,0)),1,3)</f>
        <v>Uni</v>
      </c>
      <c r="D29" s="200">
        <f>IF(ISBLANK(INDEX(WORLDCUP!$AC$4:$AC$147,MATCH(A29,WORLDCUP!$AH$4:$AH$147,0))),"",INDEX(WORLDCUP!$AC$4:$AC$147,MATCH(A29,WORLDCUP!$AH$4:$AH$147,0)))</f>
        <v>1</v>
      </c>
      <c r="E29" s="200">
        <f>IF(ISBLANK(INDEX(WORLDCUP!$AD$4:$AD$147,MATCH(A29,WORLDCUP!$AH$4:$AH$147,0))),"",INDEX(WORLDCUP!$AD$4:$AD$147,MATCH(A29,WORLDCUP!$AH$4:$AH$147,0)))</f>
        <v>0</v>
      </c>
      <c r="F29" s="201" t="str">
        <f>+MID(INDEX(WORLDCUP!$AF$4:$AF$147,MATCH(A29,WORLDCUP!$AH$4:$AH$147,0)),1,3)</f>
        <v>Aus</v>
      </c>
      <c r="G29" s="222">
        <v>2</v>
      </c>
      <c r="H29" s="223" t="str">
        <f>+MID(INDEX(WORLDCUP!$AL$6:$AL$97,MATCH(L29,WORLDCUP!$AI$6:$AI$97,0)),1,3)</f>
        <v>Uni</v>
      </c>
      <c r="I29" s="12">
        <f>+INDEX(WORLDCUP!$AM$6:$AM$97,MATCH(L29,WORLDCUP!$AI$6:$AI$97,0))</f>
        <v>6</v>
      </c>
      <c r="J29" s="13">
        <f>+INDEX(WORLDCUP!$AT$6:$AT$97,MATCH(L29,WORLDCUP!$AI$6:$AI$97,0))</f>
        <v>0</v>
      </c>
      <c r="K29" s="14" t="str">
        <f>+INDEX(WORLDCUP!$AR$6:$AR$97,MATCH(L29,WORLDCUP!$AI$6:$AI$97,0))&amp;"-"&amp;INDEX(WORLDCUP!$AS$6:$AS$97,MATCH(L29,WORLDCUP!$AI$6:$AI$97,0))</f>
        <v>2-2</v>
      </c>
      <c r="L29" s="31" t="s">
        <v>88</v>
      </c>
      <c r="M29" s="31">
        <v>43</v>
      </c>
      <c r="N29" s="300"/>
      <c r="O29" s="199" t="str">
        <f>+MID(INDEX(WORLDCUP!$AA$4:$AA$147,MATCH(M29,WORLDCUP!$AH$4:$AH$147,0)),1,3)</f>
        <v>Arg</v>
      </c>
      <c r="P29" s="200">
        <f>IF(ISBLANK(INDEX(WORLDCUP!$AC$4:$AC$147,MATCH(M29,WORLDCUP!$AH$4:$AH$147,0))),"",INDEX(WORLDCUP!$AC$4:$AC$147,MATCH(M29,WORLDCUP!$AH$4:$AH$147,0)))</f>
        <v>2</v>
      </c>
      <c r="Q29" s="200">
        <f>IF(ISBLANK(INDEX(WORLDCUP!$AD$4:$AD$147,MATCH(M29,WORLDCUP!$AH$4:$AH$147,0))),"",INDEX(WORLDCUP!$AD$4:$AD$147,MATCH(M29,WORLDCUP!$AH$4:$AH$147,0)))</f>
        <v>1</v>
      </c>
      <c r="R29" s="201" t="str">
        <f>+MID(INDEX(WORLDCUP!$AF$4:$AF$147,MATCH(M29,WORLDCUP!$AH$4:$AH$147,0)),1,3)</f>
        <v>Aus</v>
      </c>
      <c r="S29" s="222">
        <v>2</v>
      </c>
      <c r="T29" s="223" t="str">
        <f>+MID(INDEX(WORLDCUP!$AL$6:$AL$97,MATCH(X29,WORLDCUP!$AI$6:$AI$97,0)),1,3)</f>
        <v>Aus</v>
      </c>
      <c r="U29" s="12">
        <f>+INDEX(WORLDCUP!$AM$6:$AM$97,MATCH(X29,WORLDCUP!$AI$6:$AI$97,0))</f>
        <v>6</v>
      </c>
      <c r="V29" s="13">
        <f>+INDEX(WORLDCUP!$AT$6:$AT$97,MATCH(X29,WORLDCUP!$AI$6:$AI$97,0))</f>
        <v>2</v>
      </c>
      <c r="W29" s="14" t="str">
        <f>+INDEX(WORLDCUP!$AR$6:$AR$97,MATCH(X29,WORLDCUP!$AI$6:$AI$97,0))&amp;"-"&amp;INDEX(WORLDCUP!$AS$6:$AS$97,MATCH(X29,WORLDCUP!$AI$6:$AI$97,0))</f>
        <v>4-2</v>
      </c>
      <c r="X29" s="31" t="s">
        <v>115</v>
      </c>
      <c r="Y29" s="31"/>
      <c r="Z29" s="180"/>
      <c r="AA29" s="224"/>
      <c r="AB29" s="224"/>
      <c r="AC29" s="225"/>
      <c r="AD29" s="31">
        <v>91</v>
      </c>
      <c r="AE29" s="211" t="str">
        <f>+MID(INDEX(WORLDCUP!$AF$101:$AF$147,MATCH(AD29,WORLDCUP!$Z$101:$Z$147,0)),1,3)</f>
        <v>Nor</v>
      </c>
      <c r="AF29" s="212">
        <f>+IF(ISBLANK(INDEX(WORLDCUP!$AD$101:$AD$147,MATCH(AD29,WORLDCUP!$Z$101:$Z$147,0))),"",INDEX(WORLDCUP!$AD$101:$AD$147,MATCH(AD29,WORLDCUP!$Z$101:$Z$147,0)))</f>
        <v>2</v>
      </c>
      <c r="AG29" s="270" t="str">
        <f>+IF(ISBLANK(INDEX(WORLDCUP!$AE$101:$AE$147,MATCH(AD29,WORLDCUP!$Z$101:$Z$147,0))),"","( "&amp;INDEX(WORLDCUP!$AE$101:$AE$147,MATCH(AD29,WORLDCUP!$Z$101:$Z$147,0))&amp;" )")</f>
        <v/>
      </c>
      <c r="AH29" s="31"/>
      <c r="AI29" s="214"/>
      <c r="AJ29" s="214"/>
      <c r="AK29" s="214"/>
      <c r="AL29" s="31"/>
      <c r="AM29" s="186"/>
      <c r="AN29" s="186"/>
      <c r="AO29" s="267"/>
      <c r="AP29" s="170"/>
      <c r="AQ29" s="215"/>
      <c r="AR29" s="215"/>
      <c r="AS29" s="215"/>
      <c r="AT29" s="31"/>
      <c r="AU29" s="188"/>
      <c r="AV29" s="188"/>
      <c r="AW29" s="188"/>
      <c r="AX29" s="31"/>
      <c r="AY29" s="282"/>
      <c r="AZ29" s="296"/>
      <c r="BA29" s="285"/>
      <c r="BB29" s="288"/>
      <c r="BC29" s="284"/>
      <c r="BD29" s="28"/>
      <c r="BE29" s="28"/>
      <c r="BG29" s="217" t="str">
        <f>Horarios!Q28</f>
        <v>Jordan</v>
      </c>
      <c r="BH29" s="218">
        <f t="shared" si="0"/>
        <v>1</v>
      </c>
      <c r="BI29" s="218">
        <f>COUNTIF(Pool!$C$130:$C$161,Fixture!BG29)-BJ29-BK29-BL29-BM29-BN29-BO29</f>
        <v>0</v>
      </c>
      <c r="BJ29" s="219">
        <f>COUNTIF(Pool!$C$182:$C$197,Fixture!BG29)-BK29-BL29-BM29-BN29-BO29</f>
        <v>0</v>
      </c>
      <c r="BK29" s="220">
        <f>COUNTIF(Pool!$C$210:$C$217,Fixture!BG29)-BL29-BM29-BN29-BO29</f>
        <v>0</v>
      </c>
      <c r="BL29" s="220">
        <f>COUNTIF(Pool!$C$226:$C$229,Fixture!BG29)-BM29-BN29-BO29</f>
        <v>0</v>
      </c>
      <c r="BM29" s="218">
        <f>COUNTIF(Pool!$C$252,Fixture!BG29)</f>
        <v>0</v>
      </c>
      <c r="BN29" s="218">
        <f>COUNTIF(Pool!$C$251,Fixture!BG29)</f>
        <v>0</v>
      </c>
      <c r="BO29" s="221">
        <f>COUNTIF(Pool!$C$250,Fixture!BG29)</f>
        <v>0</v>
      </c>
    </row>
    <row r="30" spans="1:67" ht="16.149999999999999" customHeight="1" thickBot="1">
      <c r="A30" s="31">
        <v>31</v>
      </c>
      <c r="B30" s="299"/>
      <c r="C30" s="199" t="str">
        <f>+MID(INDEX(WORLDCUP!$AA$4:$AA$147,MATCH(A30,WORLDCUP!$AH$4:$AH$147,0)),1,3)</f>
        <v>Tur</v>
      </c>
      <c r="D30" s="200">
        <f>IF(ISBLANK(INDEX(WORLDCUP!$AC$4:$AC$147,MATCH(A30,WORLDCUP!$AH$4:$AH$147,0))),"",INDEX(WORLDCUP!$AC$4:$AC$147,MATCH(A30,WORLDCUP!$AH$4:$AH$147,0)))</f>
        <v>1</v>
      </c>
      <c r="E30" s="200">
        <f>IF(ISBLANK(INDEX(WORLDCUP!$AD$4:$AD$147,MATCH(A30,WORLDCUP!$AH$4:$AH$147,0))),"",INDEX(WORLDCUP!$AD$4:$AD$147,MATCH(A30,WORLDCUP!$AH$4:$AH$147,0)))</f>
        <v>1</v>
      </c>
      <c r="F30" s="201" t="str">
        <f>+MID(INDEX(WORLDCUP!$AF$4:$AF$147,MATCH(A30,WORLDCUP!$AH$4:$AH$147,0)),1,3)</f>
        <v>Par</v>
      </c>
      <c r="G30" s="222">
        <v>3</v>
      </c>
      <c r="H30" s="223" t="str">
        <f>+MID(INDEX(WORLDCUP!$AL$6:$AL$97,MATCH(L30,WORLDCUP!$AI$6:$AI$97,0)),1,3)</f>
        <v>Par</v>
      </c>
      <c r="I30" s="12">
        <f>+INDEX(WORLDCUP!$AM$6:$AM$97,MATCH(L30,WORLDCUP!$AI$6:$AI$97,0))</f>
        <v>4</v>
      </c>
      <c r="J30" s="13">
        <f>+INDEX(WORLDCUP!$AT$6:$AT$97,MATCH(L30,WORLDCUP!$AI$6:$AI$97,0))</f>
        <v>1</v>
      </c>
      <c r="K30" s="14" t="str">
        <f>+INDEX(WORLDCUP!$AR$6:$AR$97,MATCH(L30,WORLDCUP!$AI$6:$AI$97,0))&amp;"-"&amp;INDEX(WORLDCUP!$AS$6:$AS$97,MATCH(L30,WORLDCUP!$AI$6:$AI$97,0))</f>
        <v>3-2</v>
      </c>
      <c r="L30" s="31" t="s">
        <v>90</v>
      </c>
      <c r="M30" s="31">
        <v>44</v>
      </c>
      <c r="N30" s="300"/>
      <c r="O30" s="199" t="str">
        <f>+MID(INDEX(WORLDCUP!$AA$4:$AA$147,MATCH(M30,WORLDCUP!$AH$4:$AH$147,0)),1,3)</f>
        <v>Jor</v>
      </c>
      <c r="P30" s="200">
        <f>IF(ISBLANK(INDEX(WORLDCUP!$AC$4:$AC$147,MATCH(M30,WORLDCUP!$AH$4:$AH$147,0))),"",INDEX(WORLDCUP!$AC$4:$AC$147,MATCH(M30,WORLDCUP!$AH$4:$AH$147,0)))</f>
        <v>0</v>
      </c>
      <c r="Q30" s="200">
        <f>IF(ISBLANK(INDEX(WORLDCUP!$AD$4:$AD$147,MATCH(M30,WORLDCUP!$AH$4:$AH$147,0))),"",INDEX(WORLDCUP!$AD$4:$AD$147,MATCH(M30,WORLDCUP!$AH$4:$AH$147,0)))</f>
        <v>0</v>
      </c>
      <c r="R30" s="201" t="str">
        <f>+MID(INDEX(WORLDCUP!$AF$4:$AF$147,MATCH(M30,WORLDCUP!$AH$4:$AH$147,0)),1,3)</f>
        <v>Alg</v>
      </c>
      <c r="S30" s="222">
        <v>3</v>
      </c>
      <c r="T30" s="223" t="str">
        <f>+MID(INDEX(WORLDCUP!$AL$6:$AL$97,MATCH(X30,WORLDCUP!$AI$6:$AI$97,0)),1,3)</f>
        <v>Jor</v>
      </c>
      <c r="U30" s="12">
        <f>+INDEX(WORLDCUP!$AM$6:$AM$97,MATCH(X30,WORLDCUP!$AI$6:$AI$97,0))</f>
        <v>1</v>
      </c>
      <c r="V30" s="13">
        <f>+INDEX(WORLDCUP!$AT$6:$AT$97,MATCH(X30,WORLDCUP!$AI$6:$AI$97,0))</f>
        <v>-3</v>
      </c>
      <c r="W30" s="14" t="str">
        <f>+INDEX(WORLDCUP!$AR$6:$AR$97,MATCH(X30,WORLDCUP!$AI$6:$AI$97,0))&amp;"-"&amp;INDEX(WORLDCUP!$AS$6:$AS$97,MATCH(X30,WORLDCUP!$AI$6:$AI$97,0))</f>
        <v>0-3</v>
      </c>
      <c r="X30" s="31" t="s">
        <v>117</v>
      </c>
      <c r="Y30" s="31">
        <v>78</v>
      </c>
      <c r="Z30" s="180" t="s">
        <v>93</v>
      </c>
      <c r="AA30" s="181" t="str">
        <f>+MID(INDEX(WORLDCUP!$AA$101:$AA$147,MATCH(Y30,WORLDCUP!$Z$101:$Z$147,0)),1,3)</f>
        <v>Ecu</v>
      </c>
      <c r="AB30" s="227">
        <f>+IF(ISBLANK(INDEX(WORLDCUP!$AC$101:$AC$147,MATCH(Y30,WORLDCUP!$Z$101:$Z$147,0))),"",INDEX(WORLDCUP!$AC$101:$AC$147,MATCH(Y30,WORLDCUP!$Z$101:$Z$147,0)))</f>
        <v>0</v>
      </c>
      <c r="AC30" s="261" t="str">
        <f>+IF(ISBLANK(INDEX(WORLDCUP!$AB$101:$AB$147,MATCH(Y30,WORLDCUP!$Z$101:$Z$147,0))),"","( "&amp;INDEX(WORLDCUP!$AB$101:$AB$147,MATCH(Y30,WORLDCUP!$Z$101:$Z$147,0))&amp;" )")</f>
        <v/>
      </c>
      <c r="AD30" s="31"/>
      <c r="AE30" s="229"/>
      <c r="AF30" s="229"/>
      <c r="AG30" s="230"/>
      <c r="AH30" s="31"/>
      <c r="AI30" s="214"/>
      <c r="AJ30" s="214"/>
      <c r="AK30" s="214"/>
      <c r="AL30" s="31"/>
      <c r="AM30" s="186"/>
      <c r="AN30" s="186"/>
      <c r="AO30" s="267"/>
      <c r="AP30" s="31"/>
      <c r="AQ30" s="215"/>
      <c r="AR30" s="215"/>
      <c r="AS30" s="215"/>
      <c r="AT30" s="31"/>
      <c r="AU30" s="188"/>
      <c r="AV30" s="188"/>
      <c r="AW30" s="188"/>
      <c r="AX30" s="31"/>
      <c r="AY30" s="282"/>
      <c r="AZ30" s="296"/>
      <c r="BA30" s="285"/>
      <c r="BB30" s="288"/>
      <c r="BC30" s="284"/>
      <c r="BD30" s="28"/>
      <c r="BE30" s="28"/>
      <c r="BG30" s="217" t="str">
        <f>Horarios!Q29</f>
        <v>Mexico</v>
      </c>
      <c r="BH30" s="218">
        <f t="shared" si="0"/>
        <v>0</v>
      </c>
      <c r="BI30" s="218">
        <f>COUNTIF(Pool!$C$130:$C$161,Fixture!BG30)-BJ30-BK30-BL30-BM30-BN30-BO30</f>
        <v>1</v>
      </c>
      <c r="BJ30" s="219">
        <f>COUNTIF(Pool!$C$182:$C$197,Fixture!BG30)-BK30-BL30-BM30-BN30-BO30</f>
        <v>0</v>
      </c>
      <c r="BK30" s="220">
        <f>COUNTIF(Pool!$C$210:$C$217,Fixture!BG30)-BL30-BM30-BN30-BO30</f>
        <v>0</v>
      </c>
      <c r="BL30" s="220">
        <f>COUNTIF(Pool!$C$226:$C$229,Fixture!BG30)-BM30-BN30-BO30</f>
        <v>0</v>
      </c>
      <c r="BM30" s="218">
        <f>COUNTIF(Pool!$C$252,Fixture!BG30)</f>
        <v>0</v>
      </c>
      <c r="BN30" s="218">
        <f>COUNTIF(Pool!$C$251,Fixture!BG30)</f>
        <v>0</v>
      </c>
      <c r="BO30" s="221">
        <f>COUNTIF(Pool!$C$250,Fixture!BG30)</f>
        <v>0</v>
      </c>
    </row>
    <row r="31" spans="1:67" ht="16.149999999999999" customHeight="1" thickBot="1">
      <c r="A31" s="31">
        <v>59</v>
      </c>
      <c r="B31" s="299"/>
      <c r="C31" s="199" t="str">
        <f>+MID(INDEX(WORLDCUP!$AA$4:$AA$147,MATCH(A31,WORLDCUP!$AH$4:$AH$147,0)),1,3)</f>
        <v>Tur</v>
      </c>
      <c r="D31" s="200">
        <f>IF(ISBLANK(INDEX(WORLDCUP!$AC$4:$AC$147,MATCH(A31,WORLDCUP!$AH$4:$AH$147,0))),"",INDEX(WORLDCUP!$AC$4:$AC$147,MATCH(A31,WORLDCUP!$AH$4:$AH$147,0)))</f>
        <v>2</v>
      </c>
      <c r="E31" s="200">
        <f>IF(ISBLANK(INDEX(WORLDCUP!$AD$4:$AD$147,MATCH(A31,WORLDCUP!$AH$4:$AH$147,0))),"",INDEX(WORLDCUP!$AD$4:$AD$147,MATCH(A31,WORLDCUP!$AH$4:$AH$147,0)))</f>
        <v>0</v>
      </c>
      <c r="F31" s="201" t="str">
        <f>+MID(INDEX(WORLDCUP!$AF$4:$AF$147,MATCH(A31,WORLDCUP!$AH$4:$AH$147,0)),1,3)</f>
        <v>Uni</v>
      </c>
      <c r="G31" s="222">
        <v>4</v>
      </c>
      <c r="H31" s="231" t="str">
        <f>+MID(INDEX(WORLDCUP!$AL$6:$AL$97,MATCH(L31,WORLDCUP!$AI$6:$AI$97,0)),1,3)</f>
        <v>Aus</v>
      </c>
      <c r="I31" s="232">
        <f>+INDEX(WORLDCUP!$AM$6:$AM$97,MATCH(L31,WORLDCUP!$AI$6:$AI$97,0))</f>
        <v>0</v>
      </c>
      <c r="J31" s="233">
        <f>+INDEX(WORLDCUP!$AT$6:$AT$97,MATCH(L31,WORLDCUP!$AI$6:$AI$97,0))</f>
        <v>-5</v>
      </c>
      <c r="K31" s="234" t="str">
        <f>+INDEX(WORLDCUP!$AR$6:$AR$97,MATCH(L31,WORLDCUP!$AI$6:$AI$97,0))&amp;"-"&amp;INDEX(WORLDCUP!$AS$6:$AS$97,MATCH(L31,WORLDCUP!$AI$6:$AI$97,0))</f>
        <v>0-5</v>
      </c>
      <c r="L31" s="31" t="s">
        <v>91</v>
      </c>
      <c r="M31" s="31">
        <v>69</v>
      </c>
      <c r="N31" s="300"/>
      <c r="O31" s="199" t="str">
        <f>+MID(INDEX(WORLDCUP!$AA$4:$AA$147,MATCH(M31,WORLDCUP!$AH$4:$AH$147,0)),1,3)</f>
        <v>Alg</v>
      </c>
      <c r="P31" s="200">
        <f>IF(ISBLANK(INDEX(WORLDCUP!$AC$4:$AC$147,MATCH(M31,WORLDCUP!$AH$4:$AH$147,0))),"",INDEX(WORLDCUP!$AC$4:$AC$147,MATCH(M31,WORLDCUP!$AH$4:$AH$147,0)))</f>
        <v>0</v>
      </c>
      <c r="Q31" s="200">
        <f>IF(ISBLANK(INDEX(WORLDCUP!$AD$4:$AD$147,MATCH(M31,WORLDCUP!$AH$4:$AH$147,0))),"",INDEX(WORLDCUP!$AD$4:$AD$147,MATCH(M31,WORLDCUP!$AH$4:$AH$147,0)))</f>
        <v>2</v>
      </c>
      <c r="R31" s="201" t="str">
        <f>+MID(INDEX(WORLDCUP!$AF$4:$AF$147,MATCH(M31,WORLDCUP!$AH$4:$AH$147,0)),1,3)</f>
        <v>Aus</v>
      </c>
      <c r="S31" s="222">
        <v>4</v>
      </c>
      <c r="T31" s="231" t="str">
        <f>+MID(INDEX(WORLDCUP!$AL$6:$AL$97,MATCH(X31,WORLDCUP!$AI$6:$AI$97,0)),1,3)</f>
        <v>Alg</v>
      </c>
      <c r="U31" s="232">
        <f>+INDEX(WORLDCUP!$AM$6:$AM$97,MATCH(X31,WORLDCUP!$AI$6:$AI$97,0))</f>
        <v>1</v>
      </c>
      <c r="V31" s="233">
        <f>+INDEX(WORLDCUP!$AT$6:$AT$97,MATCH(X31,WORLDCUP!$AI$6:$AI$97,0))</f>
        <v>-4</v>
      </c>
      <c r="W31" s="234" t="str">
        <f>+INDEX(WORLDCUP!$AR$6:$AR$97,MATCH(X31,WORLDCUP!$AI$6:$AI$97,0))&amp;"-"&amp;INDEX(WORLDCUP!$AS$6:$AS$97,MATCH(X31,WORLDCUP!$AI$6:$AI$97,0))</f>
        <v>0-4</v>
      </c>
      <c r="X31" s="31" t="s">
        <v>118</v>
      </c>
      <c r="Y31" s="31">
        <v>78</v>
      </c>
      <c r="Z31" s="180" t="s">
        <v>111</v>
      </c>
      <c r="AA31" s="235" t="str">
        <f>+MID(INDEX(WORLDCUP!$AF$101:$AF$147,MATCH(Y31,WORLDCUP!$Z$101:$Z$147,0)),1,3)</f>
        <v>Nor</v>
      </c>
      <c r="AB31" s="236">
        <f>+IF(ISBLANK(INDEX(WORLDCUP!$AD$101:$AD$147,MATCH(Y31,WORLDCUP!$Z$101:$Z$147,0))),"",INDEX(WORLDCUP!$AD$101:$AD$147,MATCH(Y31,WORLDCUP!$Z$101:$Z$147,0)))</f>
        <v>2</v>
      </c>
      <c r="AC31" s="262" t="str">
        <f>+IF(ISBLANK(INDEX(WORLDCUP!$AE$101:$AE$147,MATCH(Y31,WORLDCUP!$Z$101:$Z$147,0))),"","( "&amp;INDEX(WORLDCUP!$AE$101:$AE$147,MATCH(Y31,WORLDCUP!$Z$101:$Z$147,0))&amp;" )")</f>
        <v/>
      </c>
      <c r="AD31" s="31"/>
      <c r="AE31" s="229"/>
      <c r="AF31" s="229"/>
      <c r="AG31" s="230"/>
      <c r="AH31" s="255">
        <v>99</v>
      </c>
      <c r="AI31" s="238" t="str">
        <f>+MID(INDEX(WORLDCUP!$AA$101:$AA$147,MATCH(AH31,WORLDCUP!$Z$101:$Z$147,0)),1,3)</f>
        <v>Nor</v>
      </c>
      <c r="AJ31" s="239">
        <f>+IF(ISBLANK(INDEX(WORLDCUP!$AC$101:$AC$147,MATCH(AH31,WORLDCUP!$Z$101:$Z$147,0))),"",INDEX(WORLDCUP!$AC$101:$AC$147,MATCH(AH31,WORLDCUP!$Z$101:$Z$147,0)))</f>
        <v>2</v>
      </c>
      <c r="AK31" s="240" t="str">
        <f>+IF(ISBLANK(INDEX(WORLDCUP!$AB$101:$AB$147,MATCH(AH31,WORLDCUP!$Z$101:$Z$147,0))),"","( "&amp;INDEX(WORLDCUP!$AB$101:$AB$147,MATCH(AH31,WORLDCUP!$Z$101:$Z$147,0))&amp;" )")</f>
        <v/>
      </c>
      <c r="AL31" s="31"/>
      <c r="AM31" s="186"/>
      <c r="AN31" s="186"/>
      <c r="AO31" s="267"/>
      <c r="AP31" s="301">
        <v>103</v>
      </c>
      <c r="AQ31" s="302" t="str">
        <f>+MID(INDEX(WORLDCUP!$AA$101:$AA$147,MATCH(AP31,WORLDCUP!$Z$101:$Z$147,0)),1,4)</f>
        <v>Fran</v>
      </c>
      <c r="AR31" s="303">
        <f>+IF(ISBLANK(INDEX(WORLDCUP!$AC$101:$AC$147,MATCH(AP31,WORLDCUP!$Z$101:$Z$147,0))),"",INDEX(WORLDCUP!$AC$101:$AC$147,MATCH(AP31,WORLDCUP!$Z$101:$Z$147,0)))</f>
        <v>3</v>
      </c>
      <c r="AS31" s="304" t="str">
        <f>+IF(ISBLANK(INDEX(WORLDCUP!$AB$101:$AB$147,MATCH(AP31,WORLDCUP!$Z$101:$Z$147,0))),"","( "&amp;INDEX(WORLDCUP!$AB$101:$AB$147,MATCH(AP31,WORLDCUP!$Z$101:$Z$147,0))&amp;" )")</f>
        <v/>
      </c>
      <c r="AT31" s="305"/>
      <c r="AU31" s="306"/>
      <c r="AV31" s="306"/>
      <c r="AW31" s="306"/>
      <c r="AX31" s="305"/>
      <c r="AY31" s="307"/>
      <c r="AZ31" s="308"/>
      <c r="BA31" s="308"/>
      <c r="BB31" s="308"/>
      <c r="BC31" s="309"/>
      <c r="BD31" s="28"/>
      <c r="BE31" s="28"/>
      <c r="BG31" s="217" t="str">
        <f>Horarios!Q30</f>
        <v>Morocco</v>
      </c>
      <c r="BH31" s="218">
        <f t="shared" si="0"/>
        <v>0</v>
      </c>
      <c r="BI31" s="218">
        <f>COUNTIF(Pool!$C$130:$C$161,Fixture!BG31)-BJ31-BK31-BL31-BM31-BN31-BO31</f>
        <v>1</v>
      </c>
      <c r="BJ31" s="219">
        <f>COUNTIF(Pool!$C$182:$C$197,Fixture!BG31)-BK31-BL31-BM31-BN31-BO31</f>
        <v>0</v>
      </c>
      <c r="BK31" s="220">
        <f>COUNTIF(Pool!$C$210:$C$217,Fixture!BG31)-BL31-BM31-BN31-BO31</f>
        <v>0</v>
      </c>
      <c r="BL31" s="220">
        <f>COUNTIF(Pool!$C$226:$C$229,Fixture!BG31)-BM31-BN31-BO31</f>
        <v>0</v>
      </c>
      <c r="BM31" s="218">
        <f>COUNTIF(Pool!$C$252,Fixture!BG31)</f>
        <v>0</v>
      </c>
      <c r="BN31" s="218">
        <f>COUNTIF(Pool!$C$251,Fixture!BG31)</f>
        <v>0</v>
      </c>
      <c r="BO31" s="221">
        <f>COUNTIF(Pool!$C$250,Fixture!BG31)</f>
        <v>0</v>
      </c>
    </row>
    <row r="32" spans="1:67" ht="16.149999999999999" customHeight="1" thickBot="1">
      <c r="A32" s="31">
        <v>60</v>
      </c>
      <c r="B32" s="310"/>
      <c r="C32" s="242" t="str">
        <f>+MID(INDEX(WORLDCUP!$AA$4:$AA$147,MATCH(A32,WORLDCUP!$AH$4:$AH$147,0)),1,3)</f>
        <v>Par</v>
      </c>
      <c r="D32" s="243">
        <f>IF(ISBLANK(INDEX(WORLDCUP!$AC$4:$AC$147,MATCH(A32,WORLDCUP!$AH$4:$AH$147,0))),"",INDEX(WORLDCUP!$AC$4:$AC$147,MATCH(A32,WORLDCUP!$AH$4:$AH$147,0)))</f>
        <v>2</v>
      </c>
      <c r="E32" s="243">
        <f>IF(ISBLANK(INDEX(WORLDCUP!$AD$4:$AD$147,MATCH(A32,WORLDCUP!$AH$4:$AH$147,0))),"",INDEX(WORLDCUP!$AD$4:$AD$147,MATCH(A32,WORLDCUP!$AH$4:$AH$147,0)))</f>
        <v>0</v>
      </c>
      <c r="F32" s="244" t="str">
        <f>+MID(INDEX(WORLDCUP!$AF$4:$AF$147,MATCH(A32,WORLDCUP!$AH$4:$AH$147,0)),1,3)</f>
        <v>Aus</v>
      </c>
      <c r="G32" s="245"/>
      <c r="H32" s="245"/>
      <c r="I32" s="246"/>
      <c r="J32" s="246"/>
      <c r="K32" s="247"/>
      <c r="L32" s="31"/>
      <c r="M32" s="31">
        <v>70</v>
      </c>
      <c r="N32" s="311"/>
      <c r="O32" s="242" t="str">
        <f>+MID(INDEX(WORLDCUP!$AA$4:$AA$147,MATCH(M32,WORLDCUP!$AH$4:$AH$147,0)),1,3)</f>
        <v>Jor</v>
      </c>
      <c r="P32" s="243">
        <f>IF(ISBLANK(INDEX(WORLDCUP!$AC$4:$AC$147,MATCH(M32,WORLDCUP!$AH$4:$AH$147,0))),"",INDEX(WORLDCUP!$AC$4:$AC$147,MATCH(M32,WORLDCUP!$AH$4:$AH$147,0)))</f>
        <v>0</v>
      </c>
      <c r="Q32" s="243">
        <f>IF(ISBLANK(INDEX(WORLDCUP!$AD$4:$AD$147,MATCH(M32,WORLDCUP!$AH$4:$AH$147,0))),"",INDEX(WORLDCUP!$AD$4:$AD$147,MATCH(M32,WORLDCUP!$AH$4:$AH$147,0)))</f>
        <v>2</v>
      </c>
      <c r="R32" s="244" t="str">
        <f>+MID(INDEX(WORLDCUP!$AF$4:$AF$147,MATCH(M32,WORLDCUP!$AH$4:$AH$147,0)),1,3)</f>
        <v>Arg</v>
      </c>
      <c r="S32" s="245"/>
      <c r="T32" s="245"/>
      <c r="U32" s="246"/>
      <c r="V32" s="246"/>
      <c r="W32" s="247"/>
      <c r="X32" s="31"/>
      <c r="Y32" s="31"/>
      <c r="Z32" s="180"/>
      <c r="AA32" s="249"/>
      <c r="AB32" s="249"/>
      <c r="AC32" s="249"/>
      <c r="AD32" s="31"/>
      <c r="AE32" s="184"/>
      <c r="AF32" s="184"/>
      <c r="AG32" s="230"/>
      <c r="AH32" s="31">
        <v>99</v>
      </c>
      <c r="AI32" s="238" t="str">
        <f>+MID(INDEX(WORLDCUP!$AF$101:$AF$147,MATCH(AH32,WORLDCUP!$Z$101:$Z$147,0)),1,3)</f>
        <v>Eng</v>
      </c>
      <c r="AJ32" s="239">
        <f>+IF(ISBLANK(INDEX(WORLDCUP!$AD$101:$AD$147,MATCH(AH32,WORLDCUP!$Z$101:$Z$147,0))),"",INDEX(WORLDCUP!$AD$101:$AD$147,MATCH(AH32,WORLDCUP!$Z$101:$Z$147,0)))</f>
        <v>4</v>
      </c>
      <c r="AK32" s="250" t="str">
        <f>+IF(ISBLANK(INDEX(WORLDCUP!$AE$101:$AE$147,MATCH(AH32,WORLDCUP!$Z$101:$Z$147,0))),"","( "&amp;INDEX(WORLDCUP!$AE$101:$AE$147,MATCH(AH32,WORLDCUP!$Z$101:$Z$147,0))&amp;" )")</f>
        <v/>
      </c>
      <c r="AL32" s="31"/>
      <c r="AM32" s="186"/>
      <c r="AN32" s="186"/>
      <c r="AO32" s="267"/>
      <c r="AP32" s="170">
        <v>103</v>
      </c>
      <c r="AQ32" s="302" t="str">
        <f>+MID(INDEX(WORLDCUP!$AF$101:$AF$147,MATCH(AP32,WORLDCUP!$Z$101:$Z$147,0)),1,4)</f>
        <v>Engl</v>
      </c>
      <c r="AR32" s="303">
        <f>+IF(ISBLANK(INDEX(WORLDCUP!$AD$101:$AD$147,MATCH(AP32,WORLDCUP!$Z$101:$Z$147,0))),"",INDEX(WORLDCUP!$AD$101:$AD$147,MATCH(AP32,WORLDCUP!$Z$101:$Z$147,0)))</f>
        <v>5</v>
      </c>
      <c r="AS32" s="215" t="str">
        <f>+IF(ISBLANK(INDEX(WORLDCUP!$AE$101:$AE$147,MATCH(AP32,WORLDCUP!$Z$101:$Z$147,0))),"","( "&amp;INDEX(WORLDCUP!$AE$101:$AE$147,MATCH(AP32,WORLDCUP!$Z$101:$Z$147,0))&amp;" )")</f>
        <v/>
      </c>
      <c r="AT32" s="31"/>
      <c r="AU32" s="188"/>
      <c r="AV32" s="188"/>
      <c r="AW32" s="188"/>
      <c r="AX32" s="31"/>
      <c r="AY32" s="28"/>
      <c r="AZ32" s="28"/>
      <c r="BA32" s="28"/>
      <c r="BB32" s="28"/>
      <c r="BC32" s="28"/>
      <c r="BD32" s="28"/>
      <c r="BE32" s="28"/>
      <c r="BG32" s="217" t="str">
        <f>Horarios!Q31</f>
        <v>Netherlands</v>
      </c>
      <c r="BH32" s="218">
        <f t="shared" si="0"/>
        <v>0</v>
      </c>
      <c r="BI32" s="218">
        <f>COUNTIF(Pool!$C$130:$C$161,Fixture!BG32)-BJ32-BK32-BL32-BM32-BN32-BO32</f>
        <v>0</v>
      </c>
      <c r="BJ32" s="219">
        <f>COUNTIF(Pool!$C$182:$C$197,Fixture!BG32)-BK32-BL32-BM32-BN32-BO32</f>
        <v>0</v>
      </c>
      <c r="BK32" s="220">
        <f>COUNTIF(Pool!$C$210:$C$217,Fixture!BG32)-BL32-BM32-BN32-BO32</f>
        <v>1</v>
      </c>
      <c r="BL32" s="220">
        <f>COUNTIF(Pool!$C$226:$C$229,Fixture!BG32)-BM32-BN32-BO32</f>
        <v>0</v>
      </c>
      <c r="BM32" s="218">
        <f>COUNTIF(Pool!$C$252,Fixture!BG32)</f>
        <v>0</v>
      </c>
      <c r="BN32" s="218">
        <f>COUNTIF(Pool!$C$251,Fixture!BG32)</f>
        <v>0</v>
      </c>
      <c r="BO32" s="221">
        <f>COUNTIF(Pool!$C$250,Fixture!BG32)</f>
        <v>0</v>
      </c>
    </row>
    <row r="33" spans="1:67" ht="16.149999999999999" customHeight="1" thickBot="1">
      <c r="A33" s="31"/>
      <c r="B33" s="166"/>
      <c r="C33" s="251"/>
      <c r="D33" s="252"/>
      <c r="E33" s="252"/>
      <c r="F33" s="28"/>
      <c r="G33" s="28"/>
      <c r="H33" s="251"/>
      <c r="I33" s="28"/>
      <c r="J33" s="28"/>
      <c r="K33" s="28"/>
      <c r="L33" s="31"/>
      <c r="M33" s="31"/>
      <c r="N33" s="27"/>
      <c r="O33" s="251"/>
      <c r="P33" s="252"/>
      <c r="Q33" s="252"/>
      <c r="R33" s="28"/>
      <c r="S33" s="28"/>
      <c r="T33" s="251"/>
      <c r="U33" s="28"/>
      <c r="V33" s="28"/>
      <c r="W33" s="28"/>
      <c r="X33" s="31"/>
      <c r="Y33" s="31">
        <v>79</v>
      </c>
      <c r="Z33" s="180" t="s">
        <v>74</v>
      </c>
      <c r="AA33" s="181" t="str">
        <f>+MID(INDEX(WORLDCUP!$AA$101:$AA$147,MATCH(Y33,WORLDCUP!$Z$101:$Z$147,0)),1,3)</f>
        <v>Cze</v>
      </c>
      <c r="AB33" s="182">
        <f>+IF(ISBLANK(INDEX(WORLDCUP!$AC$101:$AC$147,MATCH(Y33,WORLDCUP!$Z$101:$Z$147,0))),"",INDEX(WORLDCUP!$AC$101:$AC$147,MATCH(Y33,WORLDCUP!$Z$101:$Z$147,0)))</f>
        <v>2</v>
      </c>
      <c r="AC33" s="253" t="str">
        <f>+IF(ISBLANK(INDEX(WORLDCUP!$AB$101:$AB$147,MATCH(Y33,WORLDCUP!$Z$101:$Z$147,0))),"","( "&amp;INDEX(WORLDCUP!$AB$101:$AB$147,MATCH(Y33,WORLDCUP!$Z$101:$Z$147,0))&amp;" )")</f>
        <v/>
      </c>
      <c r="AD33" s="30"/>
      <c r="AE33" s="184"/>
      <c r="AF33" s="184"/>
      <c r="AG33" s="230"/>
      <c r="AH33" s="31"/>
      <c r="AI33" s="214"/>
      <c r="AJ33" s="214"/>
      <c r="AK33" s="254"/>
      <c r="AL33" s="170"/>
      <c r="AM33" s="186"/>
      <c r="AN33" s="186"/>
      <c r="AO33" s="267"/>
      <c r="AP33" s="31"/>
      <c r="AQ33" s="215"/>
      <c r="AR33" s="215"/>
      <c r="AS33" s="215"/>
      <c r="AT33" s="31"/>
      <c r="AU33" s="188"/>
      <c r="AV33" s="188"/>
      <c r="AW33" s="188"/>
      <c r="AX33" s="31"/>
      <c r="AY33" s="28"/>
      <c r="AZ33" s="28"/>
      <c r="BA33" s="28"/>
      <c r="BB33" s="28"/>
      <c r="BC33" s="28"/>
      <c r="BD33" s="28"/>
      <c r="BE33" s="28"/>
      <c r="BG33" s="217" t="str">
        <f>Horarios!Q32</f>
        <v>New Zealand</v>
      </c>
      <c r="BH33" s="218">
        <f t="shared" si="0"/>
        <v>1</v>
      </c>
      <c r="BI33" s="218">
        <f>COUNTIF(Pool!$C$130:$C$161,Fixture!BG33)-BJ33-BK33-BL33-BM33-BN33-BO33</f>
        <v>0</v>
      </c>
      <c r="BJ33" s="219">
        <f>COUNTIF(Pool!$C$182:$C$197,Fixture!BG33)-BK33-BL33-BM33-BN33-BO33</f>
        <v>0</v>
      </c>
      <c r="BK33" s="220">
        <f>COUNTIF(Pool!$C$210:$C$217,Fixture!BG33)-BL33-BM33-BN33-BO33</f>
        <v>0</v>
      </c>
      <c r="BL33" s="220">
        <f>COUNTIF(Pool!$C$226:$C$229,Fixture!BG33)-BM33-BN33-BO33</f>
        <v>0</v>
      </c>
      <c r="BM33" s="218">
        <f>COUNTIF(Pool!$C$252,Fixture!BG33)</f>
        <v>0</v>
      </c>
      <c r="BN33" s="218">
        <f>COUNTIF(Pool!$C$251,Fixture!BG33)</f>
        <v>0</v>
      </c>
      <c r="BO33" s="221">
        <f>COUNTIF(Pool!$C$250,Fixture!BG33)</f>
        <v>0</v>
      </c>
    </row>
    <row r="34" spans="1:67" ht="16.149999999999999" customHeight="1" thickBot="1">
      <c r="A34" s="31"/>
      <c r="B34" s="166"/>
      <c r="C34" s="251"/>
      <c r="D34" s="252"/>
      <c r="E34" s="252"/>
      <c r="F34" s="28"/>
      <c r="G34" s="28"/>
      <c r="H34" s="251"/>
      <c r="I34" s="28"/>
      <c r="J34" s="28"/>
      <c r="K34" s="28"/>
      <c r="L34" s="31"/>
      <c r="M34" s="31"/>
      <c r="N34" s="27"/>
      <c r="O34" s="251"/>
      <c r="P34" s="252"/>
      <c r="Q34" s="252"/>
      <c r="R34" s="28"/>
      <c r="S34" s="28"/>
      <c r="T34" s="251"/>
      <c r="U34" s="28"/>
      <c r="V34" s="28"/>
      <c r="W34" s="28"/>
      <c r="X34" s="31"/>
      <c r="Y34" s="31">
        <v>79</v>
      </c>
      <c r="Z34" s="180" t="s">
        <v>158</v>
      </c>
      <c r="AA34" s="181" t="str">
        <f>+MID(INDEX(WORLDCUP!$AF$101:$AF$147,MATCH(Y34,WORLDCUP!$Z$101:$Z$147,0)),1,IF(WORLDCUP!$H$113&lt;144,6,3))</f>
        <v>Sco</v>
      </c>
      <c r="AB34" s="208">
        <f>+IF(ISBLANK(INDEX(WORLDCUP!$AD$101:$AD$147,MATCH(Y34,WORLDCUP!$Z$101:$Z$147,0))),"",INDEX(WORLDCUP!$AD$101:$AD$147,MATCH(Y34,WORLDCUP!$Z$101:$Z$147,0)))</f>
        <v>1</v>
      </c>
      <c r="AC34" s="209" t="str">
        <f>+IF(ISBLANK(INDEX(WORLDCUP!$AE$101:$AE$147,MATCH(Y34,WORLDCUP!$Z$101:$Z$147,0))),"","( "&amp;INDEX(WORLDCUP!$AE$101:$AE$147,MATCH(Y34,WORLDCUP!$Z$101:$Z$147,0))&amp;" )")</f>
        <v/>
      </c>
      <c r="AD34" s="210">
        <v>92</v>
      </c>
      <c r="AE34" s="211" t="str">
        <f>+MID(INDEX(WORLDCUP!$AA$101:$AA$147,MATCH(AD34,WORLDCUP!$Z$101:$Z$147,0)),1,3)</f>
        <v>Cze</v>
      </c>
      <c r="AF34" s="212">
        <f>+IF(ISBLANK(INDEX(WORLDCUP!$AC$101:$AC$147,MATCH(AD34,WORLDCUP!$Z$101:$Z$147,0))),"",INDEX(WORLDCUP!$AC$101:$AC$147,MATCH(AD34,WORLDCUP!$Z$101:$Z$147,0)))</f>
        <v>1</v>
      </c>
      <c r="AG34" s="256" t="str">
        <f>+IF(ISBLANK(INDEX(WORLDCUP!$AB$101:$AB$147,MATCH(AD34,WORLDCUP!$Z$101:$Z$147,0))),"","( "&amp;INDEX(WORLDCUP!$AB$101:$AB$147,MATCH(AD34,WORLDCUP!$Z$101:$Z$147,0))&amp;" )")</f>
        <v/>
      </c>
      <c r="AH34" s="31"/>
      <c r="AI34" s="214"/>
      <c r="AJ34" s="214"/>
      <c r="AK34" s="254"/>
      <c r="AL34" s="170"/>
      <c r="AM34" s="186"/>
      <c r="AN34" s="186"/>
      <c r="AO34" s="267"/>
      <c r="AP34" s="31"/>
      <c r="AQ34" s="215"/>
      <c r="AR34" s="215"/>
      <c r="AS34" s="215"/>
      <c r="AT34" s="31"/>
      <c r="AU34" s="188"/>
      <c r="AV34" s="188"/>
      <c r="AW34" s="188"/>
      <c r="AX34" s="31"/>
      <c r="AY34" s="28"/>
      <c r="AZ34" s="28"/>
      <c r="BA34" s="28"/>
      <c r="BB34" s="28"/>
      <c r="BC34" s="28"/>
      <c r="BD34" s="28"/>
      <c r="BE34" s="28"/>
      <c r="BG34" s="217" t="str">
        <f>Horarios!Q33</f>
        <v>Norway</v>
      </c>
      <c r="BH34" s="218">
        <f t="shared" si="0"/>
        <v>0</v>
      </c>
      <c r="BI34" s="218">
        <f>COUNTIF(Pool!$C$130:$C$161,Fixture!BG34)-BJ34-BK34-BL34-BM34-BN34-BO34</f>
        <v>0</v>
      </c>
      <c r="BJ34" s="219">
        <f>COUNTIF(Pool!$C$182:$C$197,Fixture!BG34)-BK34-BL34-BM34-BN34-BO34</f>
        <v>0</v>
      </c>
      <c r="BK34" s="220">
        <f>COUNTIF(Pool!$C$210:$C$217,Fixture!BG34)-BL34-BM34-BN34-BO34</f>
        <v>1</v>
      </c>
      <c r="BL34" s="220">
        <f>COUNTIF(Pool!$C$226:$C$229,Fixture!BG34)-BM34-BN34-BO34</f>
        <v>0</v>
      </c>
      <c r="BM34" s="218">
        <f>COUNTIF(Pool!$C$252,Fixture!BG34)</f>
        <v>0</v>
      </c>
      <c r="BN34" s="218">
        <f>COUNTIF(Pool!$C$251,Fixture!BG34)</f>
        <v>0</v>
      </c>
      <c r="BO34" s="221">
        <f>COUNTIF(Pool!$C$250,Fixture!BG34)</f>
        <v>0</v>
      </c>
    </row>
    <row r="35" spans="1:67">
      <c r="A35" s="31">
        <v>10</v>
      </c>
      <c r="B35" s="312" t="s">
        <v>107</v>
      </c>
      <c r="C35" s="172" t="str">
        <f>+MID(INDEX(WORLDCUP!$AA$4:$AA$147,MATCH(A35,WORLDCUP!$AH$4:$AH$147,0)),1,3)</f>
        <v>Ger</v>
      </c>
      <c r="D35" s="173">
        <f>IF(ISBLANK(INDEX(WORLDCUP!$AC$4:$AC$147,MATCH(A35,WORLDCUP!$AH$4:$AH$147,0))),"",INDEX(WORLDCUP!$AC$4:$AC$147,MATCH(A35,WORLDCUP!$AH$4:$AH$147,0)))</f>
        <v>2</v>
      </c>
      <c r="E35" s="173">
        <f>IF(ISBLANK(INDEX(WORLDCUP!$AD$4:$AD$147,MATCH(A35,WORLDCUP!$AH$4:$AH$147,0))),"",INDEX(WORLDCUP!$AD$4:$AD$147,MATCH(A35,WORLDCUP!$AH$4:$AH$147,0)))</f>
        <v>0</v>
      </c>
      <c r="F35" s="174" t="str">
        <f>+MID(INDEX(WORLDCUP!$AF$4:$AF$147,MATCH(A35,WORLDCUP!$AH$4:$AH$147,0)),1,3)</f>
        <v>Cur</v>
      </c>
      <c r="G35" s="175"/>
      <c r="H35" s="176" t="str">
        <f>+H27</f>
        <v>Nat</v>
      </c>
      <c r="I35" s="177" t="str">
        <f>+I27</f>
        <v>Pts</v>
      </c>
      <c r="J35" s="177" t="str">
        <f>+J27</f>
        <v>GD</v>
      </c>
      <c r="K35" s="178" t="str">
        <f>+K27</f>
        <v>F-A</v>
      </c>
      <c r="L35" s="31"/>
      <c r="M35" s="31">
        <v>23</v>
      </c>
      <c r="N35" s="313" t="s">
        <v>133</v>
      </c>
      <c r="O35" s="172" t="str">
        <f>+MID(INDEX(WORLDCUP!$AA$4:$AA$147,MATCH(M35,WORLDCUP!$AH$4:$AH$147,0)),1,3)</f>
        <v>Por</v>
      </c>
      <c r="P35" s="173">
        <f>IF(ISBLANK(INDEX(WORLDCUP!$AC$4:$AC$147,MATCH(M35,WORLDCUP!$AH$4:$AH$147,0))),"",INDEX(WORLDCUP!$AC$4:$AC$147,MATCH(M35,WORLDCUP!$AH$4:$AH$147,0)))</f>
        <v>3</v>
      </c>
      <c r="Q35" s="173">
        <f>IF(ISBLANK(INDEX(WORLDCUP!$AD$4:$AD$147,MATCH(M35,WORLDCUP!$AH$4:$AH$147,0))),"",INDEX(WORLDCUP!$AD$4:$AD$147,MATCH(M35,WORLDCUP!$AH$4:$AH$147,0)))</f>
        <v>0</v>
      </c>
      <c r="R35" s="174" t="str">
        <f>+MID(INDEX(WORLDCUP!$AF$4:$AF$147,MATCH(M35,WORLDCUP!$AH$4:$AH$147,0)),1,3)</f>
        <v xml:space="preserve">DR </v>
      </c>
      <c r="S35" s="175"/>
      <c r="T35" s="176" t="str">
        <f>+T27</f>
        <v>Nat</v>
      </c>
      <c r="U35" s="177" t="str">
        <f>+U27</f>
        <v>Pts</v>
      </c>
      <c r="V35" s="177" t="str">
        <f>+V27</f>
        <v>GD</v>
      </c>
      <c r="W35" s="178" t="str">
        <f>+W27</f>
        <v>F-A</v>
      </c>
      <c r="X35" s="31"/>
      <c r="Y35" s="31"/>
      <c r="Z35" s="180"/>
      <c r="AA35" s="224"/>
      <c r="AB35" s="224"/>
      <c r="AC35" s="225"/>
      <c r="AD35" s="31">
        <v>92</v>
      </c>
      <c r="AE35" s="211" t="str">
        <f>+MID(INDEX(WORLDCUP!$AF$101:$AF$147,MATCH(AD35,WORLDCUP!$Z$101:$Z$147,0)),1,3)</f>
        <v>Eng</v>
      </c>
      <c r="AF35" s="212">
        <f>+IF(ISBLANK(INDEX(WORLDCUP!$AD$101:$AD$147,MATCH(AD35,WORLDCUP!$Z$101:$Z$147,0))),"",INDEX(WORLDCUP!$AD$101:$AD$147,MATCH(AD35,WORLDCUP!$Z$101:$Z$147,0)))</f>
        <v>4</v>
      </c>
      <c r="AG35" s="229" t="str">
        <f>+IF(ISBLANK(INDEX(WORLDCUP!$AE$101:$AE$147,MATCH(AD35,WORLDCUP!$Z$101:$Z$147,0))),"","( "&amp;INDEX(WORLDCUP!$AE$101:$AE$147,MATCH(AD35,WORLDCUP!$Z$101:$Z$147,0))&amp;" )")</f>
        <v/>
      </c>
      <c r="AH35" s="31"/>
      <c r="AI35" s="214"/>
      <c r="AJ35" s="214"/>
      <c r="AK35" s="254"/>
      <c r="AL35" s="170"/>
      <c r="AM35" s="186"/>
      <c r="AN35" s="314"/>
      <c r="AO35" s="267"/>
      <c r="AP35" s="170"/>
      <c r="AQ35" s="215"/>
      <c r="AR35" s="215"/>
      <c r="AS35" s="215"/>
      <c r="AT35" s="31"/>
      <c r="AU35" s="188"/>
      <c r="AV35" s="188"/>
      <c r="AW35" s="188"/>
      <c r="AX35" s="31"/>
      <c r="AY35" s="28"/>
      <c r="AZ35" s="28"/>
      <c r="BA35" s="28"/>
      <c r="BB35" s="28"/>
      <c r="BC35" s="28"/>
      <c r="BD35" s="28"/>
      <c r="BE35" s="28"/>
      <c r="BG35" s="217" t="str">
        <f>Horarios!Q34</f>
        <v>Panama</v>
      </c>
      <c r="BH35" s="218">
        <f t="shared" si="0"/>
        <v>1</v>
      </c>
      <c r="BI35" s="218">
        <f>COUNTIF(Pool!$C$130:$C$161,Fixture!BG35)-BJ35-BK35-BL35-BM35-BN35-BO35</f>
        <v>0</v>
      </c>
      <c r="BJ35" s="219">
        <f>COUNTIF(Pool!$C$182:$C$197,Fixture!BG35)-BK35-BL35-BM35-BN35-BO35</f>
        <v>0</v>
      </c>
      <c r="BK35" s="220">
        <f>COUNTIF(Pool!$C$210:$C$217,Fixture!BG35)-BL35-BM35-BN35-BO35</f>
        <v>0</v>
      </c>
      <c r="BL35" s="220">
        <f>COUNTIF(Pool!$C$226:$C$229,Fixture!BG35)-BM35-BN35-BO35</f>
        <v>0</v>
      </c>
      <c r="BM35" s="218">
        <f>COUNTIF(Pool!$C$252,Fixture!BG35)</f>
        <v>0</v>
      </c>
      <c r="BN35" s="218">
        <f>COUNTIF(Pool!$C$251,Fixture!BG35)</f>
        <v>0</v>
      </c>
      <c r="BO35" s="221">
        <f>COUNTIF(Pool!$C$250,Fixture!BG35)</f>
        <v>0</v>
      </c>
    </row>
    <row r="36" spans="1:67" ht="16.149999999999999" customHeight="1" thickBot="1">
      <c r="A36" s="31">
        <v>9</v>
      </c>
      <c r="B36" s="315"/>
      <c r="C36" s="199" t="str">
        <f>+MID(INDEX(WORLDCUP!$AA$4:$AA$147,MATCH(A36,WORLDCUP!$AH$4:$AH$147,0)),1,3)</f>
        <v>Ivo</v>
      </c>
      <c r="D36" s="200">
        <f>IF(ISBLANK(INDEX(WORLDCUP!$AC$4:$AC$147,MATCH(A36,WORLDCUP!$AH$4:$AH$147,0))),"",INDEX(WORLDCUP!$AC$4:$AC$147,MATCH(A36,WORLDCUP!$AH$4:$AH$147,0)))</f>
        <v>0</v>
      </c>
      <c r="E36" s="200">
        <f>IF(ISBLANK(INDEX(WORLDCUP!$AD$4:$AD$147,MATCH(A36,WORLDCUP!$AH$4:$AH$147,0))),"",INDEX(WORLDCUP!$AD$4:$AD$147,MATCH(A36,WORLDCUP!$AH$4:$AH$147,0)))</f>
        <v>1</v>
      </c>
      <c r="F36" s="201" t="str">
        <f>+MID(INDEX(WORLDCUP!$AF$4:$AF$147,MATCH(A36,WORLDCUP!$AH$4:$AH$147,0)),1,3)</f>
        <v>Ecu</v>
      </c>
      <c r="G36" s="202">
        <v>1</v>
      </c>
      <c r="H36" s="203" t="str">
        <f>+MID(INDEX(WORLDCUP!$AL$6:$AL$97,MATCH(L36,WORLDCUP!$AI$6:$AI$97,0)),1,3)</f>
        <v>Ger</v>
      </c>
      <c r="I36" s="204">
        <f>+INDEX(WORLDCUP!$AM$6:$AM$97,MATCH(L36,WORLDCUP!$AI$6:$AI$97,0))</f>
        <v>9</v>
      </c>
      <c r="J36" s="205">
        <f>+INDEX(WORLDCUP!$AT$6:$AT$97,MATCH(L36,WORLDCUP!$AI$6:$AI$97,0))</f>
        <v>6</v>
      </c>
      <c r="K36" s="206" t="str">
        <f>+INDEX(WORLDCUP!$AR$6:$AR$97,MATCH(L36,WORLDCUP!$AI$6:$AI$97,0))&amp;"-"&amp;INDEX(WORLDCUP!$AS$6:$AS$97,MATCH(L36,WORLDCUP!$AI$6:$AI$97,0))</f>
        <v>6-0</v>
      </c>
      <c r="L36" s="31" t="s">
        <v>92</v>
      </c>
      <c r="M36" s="31">
        <v>24</v>
      </c>
      <c r="N36" s="316"/>
      <c r="O36" s="199" t="str">
        <f>+MID(INDEX(WORLDCUP!$AA$4:$AA$147,MATCH(M36,WORLDCUP!$AH$4:$AH$147,0)),1,3)</f>
        <v>Uzb</v>
      </c>
      <c r="P36" s="200">
        <f>IF(ISBLANK(INDEX(WORLDCUP!$AC$4:$AC$147,MATCH(M36,WORLDCUP!$AH$4:$AH$147,0))),"",INDEX(WORLDCUP!$AC$4:$AC$147,MATCH(M36,WORLDCUP!$AH$4:$AH$147,0)))</f>
        <v>1</v>
      </c>
      <c r="Q36" s="200">
        <f>IF(ISBLANK(INDEX(WORLDCUP!$AD$4:$AD$147,MATCH(M36,WORLDCUP!$AH$4:$AH$147,0))),"",INDEX(WORLDCUP!$AD$4:$AD$147,MATCH(M36,WORLDCUP!$AH$4:$AH$147,0)))</f>
        <v>3</v>
      </c>
      <c r="R36" s="201" t="str">
        <f>+MID(INDEX(WORLDCUP!$AF$4:$AF$147,MATCH(M36,WORLDCUP!$AH$4:$AH$147,0)),1,3)</f>
        <v>Col</v>
      </c>
      <c r="S36" s="202">
        <v>1</v>
      </c>
      <c r="T36" s="203" t="str">
        <f>+MID(INDEX(WORLDCUP!$AL$6:$AL$97,MATCH(X36,WORLDCUP!$AI$6:$AI$97,0)),1,3)</f>
        <v>Por</v>
      </c>
      <c r="U36" s="204">
        <f>+INDEX(WORLDCUP!$AM$6:$AM$97,MATCH(X36,WORLDCUP!$AI$6:$AI$97,0))</f>
        <v>9</v>
      </c>
      <c r="V36" s="205">
        <f>+INDEX(WORLDCUP!$AT$6:$AT$97,MATCH(X36,WORLDCUP!$AI$6:$AI$97,0))</f>
        <v>9</v>
      </c>
      <c r="W36" s="206" t="str">
        <f>+INDEX(WORLDCUP!$AR$6:$AR$97,MATCH(X36,WORLDCUP!$AI$6:$AI$97,0))&amp;"-"&amp;INDEX(WORLDCUP!$AS$6:$AS$97,MATCH(X36,WORLDCUP!$AI$6:$AI$97,0))</f>
        <v>9-0</v>
      </c>
      <c r="X36" s="31" t="s">
        <v>119</v>
      </c>
      <c r="Y36" s="31">
        <v>80</v>
      </c>
      <c r="Z36" s="180" t="s">
        <v>123</v>
      </c>
      <c r="AA36" s="181" t="str">
        <f>+MID(INDEX(WORLDCUP!$AA$101:$AA$147,MATCH(Y36,WORLDCUP!$Z$101:$Z$147,0)),1,3)</f>
        <v>Eng</v>
      </c>
      <c r="AB36" s="227">
        <f>+IF(ISBLANK(INDEX(WORLDCUP!$AC$101:$AC$147,MATCH(Y36,WORLDCUP!$Z$101:$Z$147,0))),"",INDEX(WORLDCUP!$AC$101:$AC$147,MATCH(Y36,WORLDCUP!$Z$101:$Z$147,0)))</f>
        <v>3</v>
      </c>
      <c r="AC36" s="261" t="str">
        <f>+IF(ISBLANK(INDEX(WORLDCUP!$AB$101:$AB$147,MATCH(Y36,WORLDCUP!$Z$101:$Z$147,0))),"","( "&amp;INDEX(WORLDCUP!$AB$101:$AB$147,MATCH(Y36,WORLDCUP!$Z$101:$Z$147,0))&amp;" )")</f>
        <v/>
      </c>
      <c r="AD36" s="31"/>
      <c r="AE36" s="184"/>
      <c r="AF36" s="184"/>
      <c r="AG36" s="184"/>
      <c r="AH36" s="31"/>
      <c r="AI36" s="214"/>
      <c r="AJ36" s="214"/>
      <c r="AK36" s="254"/>
      <c r="AL36" s="170"/>
      <c r="AM36" s="186"/>
      <c r="AN36" s="186"/>
      <c r="AO36" s="267"/>
      <c r="AP36" s="170"/>
      <c r="AQ36" s="215"/>
      <c r="AR36" s="215"/>
      <c r="AS36" s="215"/>
      <c r="AT36" s="31"/>
      <c r="AU36" s="188"/>
      <c r="AV36" s="188"/>
      <c r="AW36" s="188"/>
      <c r="AX36" s="31"/>
      <c r="AY36" s="28"/>
      <c r="AZ36" s="28"/>
      <c r="BA36" s="28"/>
      <c r="BB36" s="28"/>
      <c r="BC36" s="28"/>
      <c r="BD36" s="28"/>
      <c r="BE36" s="28"/>
      <c r="BG36" s="217" t="str">
        <f>Horarios!Q35</f>
        <v>Paraguay</v>
      </c>
      <c r="BH36" s="218">
        <f t="shared" si="0"/>
        <v>0</v>
      </c>
      <c r="BI36" s="218">
        <f>COUNTIF(Pool!$C$130:$C$161,Fixture!BG36)-BJ36-BK36-BL36-BM36-BN36-BO36</f>
        <v>1</v>
      </c>
      <c r="BJ36" s="219">
        <f>COUNTIF(Pool!$C$182:$C$197,Fixture!BG36)-BK36-BL36-BM36-BN36-BO36</f>
        <v>0</v>
      </c>
      <c r="BK36" s="220">
        <f>COUNTIF(Pool!$C$210:$C$217,Fixture!BG36)-BL36-BM36-BN36-BO36</f>
        <v>0</v>
      </c>
      <c r="BL36" s="220">
        <f>COUNTIF(Pool!$C$226:$C$229,Fixture!BG36)-BM36-BN36-BO36</f>
        <v>0</v>
      </c>
      <c r="BM36" s="218">
        <f>COUNTIF(Pool!$C$252,Fixture!BG36)</f>
        <v>0</v>
      </c>
      <c r="BN36" s="218">
        <f>COUNTIF(Pool!$C$251,Fixture!BG36)</f>
        <v>0</v>
      </c>
      <c r="BO36" s="221">
        <f>COUNTIF(Pool!$C$250,Fixture!BG36)</f>
        <v>0</v>
      </c>
    </row>
    <row r="37" spans="1:67" ht="16.149999999999999" customHeight="1" thickBot="1">
      <c r="A37" s="31">
        <v>33</v>
      </c>
      <c r="B37" s="315"/>
      <c r="C37" s="199" t="str">
        <f>+MID(INDEX(WORLDCUP!$AA$4:$AA$147,MATCH(A37,WORLDCUP!$AH$4:$AH$147,0)),1,3)</f>
        <v>Ger</v>
      </c>
      <c r="D37" s="200">
        <f>IF(ISBLANK(INDEX(WORLDCUP!$AC$4:$AC$147,MATCH(A37,WORLDCUP!$AH$4:$AH$147,0))),"",INDEX(WORLDCUP!$AC$4:$AC$147,MATCH(A37,WORLDCUP!$AH$4:$AH$147,0)))</f>
        <v>2</v>
      </c>
      <c r="E37" s="200">
        <f>IF(ISBLANK(INDEX(WORLDCUP!$AD$4:$AD$147,MATCH(A37,WORLDCUP!$AH$4:$AH$147,0))),"",INDEX(WORLDCUP!$AD$4:$AD$147,MATCH(A37,WORLDCUP!$AH$4:$AH$147,0)))</f>
        <v>0</v>
      </c>
      <c r="F37" s="201" t="str">
        <f>+MID(INDEX(WORLDCUP!$AF$4:$AF$147,MATCH(A37,WORLDCUP!$AH$4:$AH$147,0)),1,3)</f>
        <v>Ivo</v>
      </c>
      <c r="G37" s="222">
        <v>2</v>
      </c>
      <c r="H37" s="223" t="str">
        <f>+MID(INDEX(WORLDCUP!$AL$6:$AL$97,MATCH(L37,WORLDCUP!$AI$6:$AI$97,0)),1,3)</f>
        <v>Ecu</v>
      </c>
      <c r="I37" s="12">
        <f>+INDEX(WORLDCUP!$AM$6:$AM$97,MATCH(L37,WORLDCUP!$AI$6:$AI$97,0))</f>
        <v>6</v>
      </c>
      <c r="J37" s="13">
        <f>+INDEX(WORLDCUP!$AT$6:$AT$97,MATCH(L37,WORLDCUP!$AI$6:$AI$97,0))</f>
        <v>0</v>
      </c>
      <c r="K37" s="14" t="str">
        <f>+INDEX(WORLDCUP!$AR$6:$AR$97,MATCH(L37,WORLDCUP!$AI$6:$AI$97,0))&amp;"-"&amp;INDEX(WORLDCUP!$AS$6:$AS$97,MATCH(L37,WORLDCUP!$AI$6:$AI$97,0))</f>
        <v>2-2</v>
      </c>
      <c r="L37" s="31" t="s">
        <v>93</v>
      </c>
      <c r="M37" s="31">
        <v>47</v>
      </c>
      <c r="N37" s="316"/>
      <c r="O37" s="199" t="str">
        <f>+MID(INDEX(WORLDCUP!$AA$4:$AA$147,MATCH(M37,WORLDCUP!$AH$4:$AH$147,0)),1,3)</f>
        <v>Por</v>
      </c>
      <c r="P37" s="200">
        <f>IF(ISBLANK(INDEX(WORLDCUP!$AC$4:$AC$147,MATCH(M37,WORLDCUP!$AH$4:$AH$147,0))),"",INDEX(WORLDCUP!$AC$4:$AC$147,MATCH(M37,WORLDCUP!$AH$4:$AH$147,0)))</f>
        <v>4</v>
      </c>
      <c r="Q37" s="200">
        <f>IF(ISBLANK(INDEX(WORLDCUP!$AD$4:$AD$147,MATCH(M37,WORLDCUP!$AH$4:$AH$147,0))),"",INDEX(WORLDCUP!$AD$4:$AD$147,MATCH(M37,WORLDCUP!$AH$4:$AH$147,0)))</f>
        <v>0</v>
      </c>
      <c r="R37" s="201" t="str">
        <f>+MID(INDEX(WORLDCUP!$AF$4:$AF$147,MATCH(M37,WORLDCUP!$AH$4:$AH$147,0)),1,3)</f>
        <v>Uzb</v>
      </c>
      <c r="S37" s="222">
        <v>2</v>
      </c>
      <c r="T37" s="223" t="str">
        <f>+MID(INDEX(WORLDCUP!$AL$6:$AL$97,MATCH(X37,WORLDCUP!$AI$6:$AI$97,0)),1,3)</f>
        <v>Col</v>
      </c>
      <c r="U37" s="12">
        <f>+INDEX(WORLDCUP!$AM$6:$AM$97,MATCH(X37,WORLDCUP!$AI$6:$AI$97,0))</f>
        <v>6</v>
      </c>
      <c r="V37" s="13">
        <f>+INDEX(WORLDCUP!$AT$6:$AT$97,MATCH(X37,WORLDCUP!$AI$6:$AI$97,0))</f>
        <v>1</v>
      </c>
      <c r="W37" s="14" t="str">
        <f>+INDEX(WORLDCUP!$AR$6:$AR$97,MATCH(X37,WORLDCUP!$AI$6:$AI$97,0))&amp;"-"&amp;INDEX(WORLDCUP!$AS$6:$AS$97,MATCH(X37,WORLDCUP!$AI$6:$AI$97,0))</f>
        <v>5-4</v>
      </c>
      <c r="X37" s="31" t="s">
        <v>120</v>
      </c>
      <c r="Y37" s="31">
        <v>80</v>
      </c>
      <c r="Z37" s="180" t="s">
        <v>160</v>
      </c>
      <c r="AA37" s="235" t="str">
        <f>+MID(INDEX(WORLDCUP!$AF$101:$AF$147,MATCH(Y37,WORLDCUP!$Z$101:$Z$147,0)),1,IF(WORLDCUP!$H$113&lt;144,6,3))</f>
        <v>Sen</v>
      </c>
      <c r="AB37" s="236">
        <f>+IF(ISBLANK(INDEX(WORLDCUP!$AD$101:$AD$147,MATCH(Y37,WORLDCUP!$Z$101:$Z$147,0))),"",INDEX(WORLDCUP!$AD$101:$AD$147,MATCH(Y37,WORLDCUP!$Z$101:$Z$147,0)))</f>
        <v>0</v>
      </c>
      <c r="AC37" s="262" t="str">
        <f>+IF(ISBLANK(INDEX(WORLDCUP!$AE$101:$AE$147,MATCH(Y37,WORLDCUP!$Z$101:$Z$147,0))),"","( "&amp;INDEX(WORLDCUP!$AE$101:$AE$147,MATCH(Y37,WORLDCUP!$Z$101:$Z$147,0))&amp;" )")</f>
        <v/>
      </c>
      <c r="AD37" s="31"/>
      <c r="AE37" s="184"/>
      <c r="AF37" s="184"/>
      <c r="AG37" s="184"/>
      <c r="AH37" s="31"/>
      <c r="AI37" s="214"/>
      <c r="AJ37" s="214"/>
      <c r="AK37" s="254"/>
      <c r="AL37" s="255">
        <v>102</v>
      </c>
      <c r="AM37" s="263" t="str">
        <f>+MID(INDEX(WORLDCUP!$AA$101:$AA$147,MATCH(AL37,WORLDCUP!$Z$101:$Z$147,0)),1,3)</f>
        <v>Eng</v>
      </c>
      <c r="AN37" s="264">
        <f>+IF(ISBLANK(INDEX(WORLDCUP!$AC$101:$AC$147,MATCH(AL37,WORLDCUP!$Z$101:$Z$147,0))),"",INDEX(WORLDCUP!$AC$101:$AC$147,MATCH(AL37,WORLDCUP!$Z$101:$Z$147,0)))</f>
        <v>2</v>
      </c>
      <c r="AO37" s="317" t="str">
        <f>+IF(ISBLANK(INDEX(WORLDCUP!$AB$101:$AB$147,MATCH(AL37,WORLDCUP!$Z$101:$Z$147,0))),"","( "&amp;INDEX(WORLDCUP!$AB$101:$AB$147,MATCH(AL37,WORLDCUP!$Z$101:$Z$147,0))&amp;" )")</f>
        <v/>
      </c>
      <c r="AP37" s="31"/>
      <c r="AQ37" s="215"/>
      <c r="AR37" s="215"/>
      <c r="AS37" s="215"/>
      <c r="AT37" s="31"/>
      <c r="AU37" s="188"/>
      <c r="AV37" s="188"/>
      <c r="AW37" s="188"/>
      <c r="AX37" s="31"/>
      <c r="AY37" s="28"/>
      <c r="AZ37" s="28"/>
      <c r="BA37" s="28"/>
      <c r="BB37" s="28"/>
      <c r="BC37" s="28"/>
      <c r="BD37" s="28"/>
      <c r="BE37" s="28"/>
      <c r="BG37" s="217" t="str">
        <f>Horarios!Q36</f>
        <v>Portugal</v>
      </c>
      <c r="BH37" s="218">
        <f t="shared" si="0"/>
        <v>0</v>
      </c>
      <c r="BI37" s="218">
        <f>COUNTIF(Pool!$C$130:$C$161,Fixture!BG37)-BJ37-BK37-BL37-BM37-BN37-BO37</f>
        <v>0</v>
      </c>
      <c r="BJ37" s="219">
        <f>COUNTIF(Pool!$C$182:$C$197,Fixture!BG37)-BK37-BL37-BM37-BN37-BO37</f>
        <v>0</v>
      </c>
      <c r="BK37" s="220">
        <f>COUNTIF(Pool!$C$210:$C$217,Fixture!BG37)-BL37-BM37-BN37-BO37</f>
        <v>0</v>
      </c>
      <c r="BL37" s="220">
        <f>COUNTIF(Pool!$C$226:$C$229,Fixture!BG37)-BM37-BN37-BO37</f>
        <v>0</v>
      </c>
      <c r="BM37" s="218">
        <f>COUNTIF(Pool!$C$252,Fixture!BG37)</f>
        <v>0</v>
      </c>
      <c r="BN37" s="218">
        <f>COUNTIF(Pool!$C$251,Fixture!BG37)</f>
        <v>0</v>
      </c>
      <c r="BO37" s="221">
        <f>COUNTIF(Pool!$C$250,Fixture!BG37)</f>
        <v>1</v>
      </c>
    </row>
    <row r="38" spans="1:67">
      <c r="A38" s="31">
        <v>34</v>
      </c>
      <c r="B38" s="315"/>
      <c r="C38" s="199" t="str">
        <f>+MID(INDEX(WORLDCUP!$AA$4:$AA$147,MATCH(A38,WORLDCUP!$AH$4:$AH$147,0)),1,3)</f>
        <v>Ecu</v>
      </c>
      <c r="D38" s="200">
        <f>IF(ISBLANK(INDEX(WORLDCUP!$AC$4:$AC$147,MATCH(A38,WORLDCUP!$AH$4:$AH$147,0))),"",INDEX(WORLDCUP!$AC$4:$AC$147,MATCH(A38,WORLDCUP!$AH$4:$AH$147,0)))</f>
        <v>1</v>
      </c>
      <c r="E38" s="200">
        <f>IF(ISBLANK(INDEX(WORLDCUP!$AD$4:$AD$147,MATCH(A38,WORLDCUP!$AH$4:$AH$147,0))),"",INDEX(WORLDCUP!$AD$4:$AD$147,MATCH(A38,WORLDCUP!$AH$4:$AH$147,0)))</f>
        <v>0</v>
      </c>
      <c r="F38" s="201" t="str">
        <f>+MID(INDEX(WORLDCUP!$AF$4:$AF$147,MATCH(A38,WORLDCUP!$AH$4:$AH$147,0)),1,3)</f>
        <v>Cur</v>
      </c>
      <c r="G38" s="222">
        <v>3</v>
      </c>
      <c r="H38" s="223" t="str">
        <f>+MID(INDEX(WORLDCUP!$AL$6:$AL$97,MATCH(L38,WORLDCUP!$AI$6:$AI$97,0)),1,3)</f>
        <v>Cur</v>
      </c>
      <c r="I38" s="12">
        <f>+INDEX(WORLDCUP!$AM$6:$AM$97,MATCH(L38,WORLDCUP!$AI$6:$AI$97,0))</f>
        <v>1</v>
      </c>
      <c r="J38" s="13">
        <f>+INDEX(WORLDCUP!$AT$6:$AT$97,MATCH(L38,WORLDCUP!$AI$6:$AI$97,0))</f>
        <v>-3</v>
      </c>
      <c r="K38" s="14" t="str">
        <f>+INDEX(WORLDCUP!$AR$6:$AR$97,MATCH(L38,WORLDCUP!$AI$6:$AI$97,0))&amp;"-"&amp;INDEX(WORLDCUP!$AS$6:$AS$97,MATCH(L38,WORLDCUP!$AI$6:$AI$97,0))</f>
        <v>1-4</v>
      </c>
      <c r="L38" s="31" t="s">
        <v>94</v>
      </c>
      <c r="M38" s="31">
        <v>48</v>
      </c>
      <c r="N38" s="316"/>
      <c r="O38" s="199" t="str">
        <f>+MID(INDEX(WORLDCUP!$AA$4:$AA$147,MATCH(M38,WORLDCUP!$AH$4:$AH$147,0)),1,3)</f>
        <v>Col</v>
      </c>
      <c r="P38" s="200">
        <f>IF(ISBLANK(INDEX(WORLDCUP!$AC$4:$AC$147,MATCH(M38,WORLDCUP!$AH$4:$AH$147,0))),"",INDEX(WORLDCUP!$AC$4:$AC$147,MATCH(M38,WORLDCUP!$AH$4:$AH$147,0)))</f>
        <v>2</v>
      </c>
      <c r="Q38" s="200">
        <f>IF(ISBLANK(INDEX(WORLDCUP!$AD$4:$AD$147,MATCH(M38,WORLDCUP!$AH$4:$AH$147,0))),"",INDEX(WORLDCUP!$AD$4:$AD$147,MATCH(M38,WORLDCUP!$AH$4:$AH$147,0)))</f>
        <v>1</v>
      </c>
      <c r="R38" s="201" t="str">
        <f>+MID(INDEX(WORLDCUP!$AF$4:$AF$147,MATCH(M38,WORLDCUP!$AH$4:$AH$147,0)),1,3)</f>
        <v xml:space="preserve">DR </v>
      </c>
      <c r="S38" s="222">
        <v>3</v>
      </c>
      <c r="T38" s="223" t="str">
        <f>+MID(INDEX(WORLDCUP!$AL$6:$AL$97,MATCH(X38,WORLDCUP!$AI$6:$AI$97,0)),1,3)</f>
        <v xml:space="preserve">DR </v>
      </c>
      <c r="U38" s="12">
        <f>+INDEX(WORLDCUP!$AM$6:$AM$97,MATCH(X38,WORLDCUP!$AI$6:$AI$97,0))</f>
        <v>1</v>
      </c>
      <c r="V38" s="13">
        <f>+INDEX(WORLDCUP!$AT$6:$AT$97,MATCH(X38,WORLDCUP!$AI$6:$AI$97,0))</f>
        <v>-4</v>
      </c>
      <c r="W38" s="14" t="str">
        <f>+INDEX(WORLDCUP!$AR$6:$AR$97,MATCH(X38,WORLDCUP!$AI$6:$AI$97,0))&amp;"-"&amp;INDEX(WORLDCUP!$AS$6:$AS$97,MATCH(X38,WORLDCUP!$AI$6:$AI$97,0))</f>
        <v>2-6</v>
      </c>
      <c r="X38" s="31" t="s">
        <v>121</v>
      </c>
      <c r="Y38" s="31"/>
      <c r="Z38" s="180"/>
      <c r="AA38" s="249"/>
      <c r="AB38" s="249"/>
      <c r="AC38" s="249"/>
      <c r="AD38" s="31"/>
      <c r="AE38" s="184"/>
      <c r="AF38" s="184"/>
      <c r="AG38" s="184"/>
      <c r="AH38" s="31"/>
      <c r="AI38" s="214"/>
      <c r="AJ38" s="214"/>
      <c r="AK38" s="254"/>
      <c r="AL38" s="31">
        <v>102</v>
      </c>
      <c r="AM38" s="263" t="str">
        <f t="array" ref="AM38">+MID(INDEX(WORLDCUP!$AF$101:$AF$147,MATCH(AL38,WORLDCUP!$Z$101:$Z$147,0)),1,IF(OR(ISBLANK(AC134:AD134)),4,3))</f>
        <v>Port</v>
      </c>
      <c r="AN38" s="264">
        <f>+IF(ISBLANK(INDEX(WORLDCUP!$AD$101:$AD$147,MATCH(AL38,WORLDCUP!$Z$101:$Z$147,0))),"",INDEX(WORLDCUP!$AD$101:$AD$147,MATCH(AL38,WORLDCUP!$Z$101:$Z$147,0)))</f>
        <v>3</v>
      </c>
      <c r="AO38" s="186" t="str">
        <f>+IF(ISBLANK(INDEX(WORLDCUP!$AE$101:$AE$147,MATCH(AL38,WORLDCUP!$Z$101:$Z$147,0))),"","( "&amp;INDEX(WORLDCUP!$AE$101:$AE$147,MATCH(AL38,WORLDCUP!$Z$101:$Z$147,0))&amp;" )")</f>
        <v/>
      </c>
      <c r="AP38" s="31"/>
      <c r="AQ38" s="215"/>
      <c r="AR38" s="215"/>
      <c r="AS38" s="215"/>
      <c r="AT38" s="31"/>
      <c r="AU38" s="188"/>
      <c r="AV38" s="188"/>
      <c r="AW38" s="188"/>
      <c r="AX38" s="31"/>
      <c r="AY38" s="28"/>
      <c r="AZ38" s="28"/>
      <c r="BA38" s="28"/>
      <c r="BB38" s="28"/>
      <c r="BC38" s="28"/>
      <c r="BD38" s="28"/>
      <c r="BE38" s="28"/>
      <c r="BG38" s="217" t="str">
        <f>Horarios!Q37</f>
        <v>Qatar</v>
      </c>
      <c r="BH38" s="218">
        <f t="shared" si="0"/>
        <v>1</v>
      </c>
      <c r="BI38" s="218">
        <f>COUNTIF(Pool!$C$130:$C$161,Fixture!BG38)-BJ38-BK38-BL38-BM38-BN38-BO38</f>
        <v>0</v>
      </c>
      <c r="BJ38" s="219">
        <f>COUNTIF(Pool!$C$182:$C$197,Fixture!BG38)-BK38-BL38-BM38-BN38-BO38</f>
        <v>0</v>
      </c>
      <c r="BK38" s="220">
        <f>COUNTIF(Pool!$C$210:$C$217,Fixture!BG38)-BL38-BM38-BN38-BO38</f>
        <v>0</v>
      </c>
      <c r="BL38" s="220">
        <f>COUNTIF(Pool!$C$226:$C$229,Fixture!BG38)-BM38-BN38-BO38</f>
        <v>0</v>
      </c>
      <c r="BM38" s="218">
        <f>COUNTIF(Pool!$C$252,Fixture!BG38)</f>
        <v>0</v>
      </c>
      <c r="BN38" s="218">
        <f>COUNTIF(Pool!$C$251,Fixture!BG38)</f>
        <v>0</v>
      </c>
      <c r="BO38" s="221">
        <f>COUNTIF(Pool!$C$250,Fixture!BG38)</f>
        <v>0</v>
      </c>
    </row>
    <row r="39" spans="1:67" ht="16.149999999999999" customHeight="1" thickBot="1">
      <c r="A39" s="31">
        <v>55</v>
      </c>
      <c r="B39" s="315"/>
      <c r="C39" s="199" t="str">
        <f>+MID(INDEX(WORLDCUP!$AA$4:$AA$147,MATCH(A39,WORLDCUP!$AH$4:$AH$147,0)),1,3)</f>
        <v>Cur</v>
      </c>
      <c r="D39" s="200">
        <f>IF(ISBLANK(INDEX(WORLDCUP!$AC$4:$AC$147,MATCH(A39,WORLDCUP!$AH$4:$AH$147,0))),"",INDEX(WORLDCUP!$AC$4:$AC$147,MATCH(A39,WORLDCUP!$AH$4:$AH$147,0)))</f>
        <v>1</v>
      </c>
      <c r="E39" s="200">
        <f>IF(ISBLANK(INDEX(WORLDCUP!$AD$4:$AD$147,MATCH(A39,WORLDCUP!$AH$4:$AH$147,0))),"",INDEX(WORLDCUP!$AD$4:$AD$147,MATCH(A39,WORLDCUP!$AH$4:$AH$147,0)))</f>
        <v>1</v>
      </c>
      <c r="F39" s="201" t="str">
        <f>+MID(INDEX(WORLDCUP!$AF$4:$AF$147,MATCH(A39,WORLDCUP!$AH$4:$AH$147,0)),1,3)</f>
        <v>Ivo</v>
      </c>
      <c r="G39" s="222">
        <v>4</v>
      </c>
      <c r="H39" s="231" t="str">
        <f>+MID(INDEX(WORLDCUP!$AL$6:$AL$97,MATCH(L39,WORLDCUP!$AI$6:$AI$97,0)),1,3)</f>
        <v>Ivo</v>
      </c>
      <c r="I39" s="232">
        <f>+INDEX(WORLDCUP!$AM$6:$AM$97,MATCH(L39,WORLDCUP!$AI$6:$AI$97,0))</f>
        <v>1</v>
      </c>
      <c r="J39" s="233">
        <f>+INDEX(WORLDCUP!$AT$6:$AT$97,MATCH(L39,WORLDCUP!$AI$6:$AI$97,0))</f>
        <v>-3</v>
      </c>
      <c r="K39" s="234" t="str">
        <f>+INDEX(WORLDCUP!$AR$6:$AR$97,MATCH(L39,WORLDCUP!$AI$6:$AI$97,0))&amp;"-"&amp;INDEX(WORLDCUP!$AS$6:$AS$97,MATCH(L39,WORLDCUP!$AI$6:$AI$97,0))</f>
        <v>1-4</v>
      </c>
      <c r="L39" s="31" t="s">
        <v>95</v>
      </c>
      <c r="M39" s="31">
        <v>71</v>
      </c>
      <c r="N39" s="316"/>
      <c r="O39" s="199" t="str">
        <f>+MID(INDEX(WORLDCUP!$AA$4:$AA$147,MATCH(M39,WORLDCUP!$AH$4:$AH$147,0)),1,3)</f>
        <v>Col</v>
      </c>
      <c r="P39" s="200">
        <f>IF(ISBLANK(INDEX(WORLDCUP!$AC$4:$AC$147,MATCH(M39,WORLDCUP!$AH$4:$AH$147,0))),"",INDEX(WORLDCUP!$AC$4:$AC$147,MATCH(M39,WORLDCUP!$AH$4:$AH$147,0)))</f>
        <v>0</v>
      </c>
      <c r="Q39" s="200">
        <f>IF(ISBLANK(INDEX(WORLDCUP!$AD$4:$AD$147,MATCH(M39,WORLDCUP!$AH$4:$AH$147,0))),"",INDEX(WORLDCUP!$AD$4:$AD$147,MATCH(M39,WORLDCUP!$AH$4:$AH$147,0)))</f>
        <v>2</v>
      </c>
      <c r="R39" s="201" t="str">
        <f>+MID(INDEX(WORLDCUP!$AF$4:$AF$147,MATCH(M39,WORLDCUP!$AH$4:$AH$147,0)),1,3)</f>
        <v>Por</v>
      </c>
      <c r="S39" s="222">
        <v>4</v>
      </c>
      <c r="T39" s="231" t="str">
        <f>+MID(INDEX(WORLDCUP!$AL$6:$AL$97,MATCH(X39,WORLDCUP!$AI$6:$AI$97,0)),1,3)</f>
        <v>Uzb</v>
      </c>
      <c r="U39" s="232">
        <f>+INDEX(WORLDCUP!$AM$6:$AM$97,MATCH(X39,WORLDCUP!$AI$6:$AI$97,0))</f>
        <v>1</v>
      </c>
      <c r="V39" s="233">
        <f>+INDEX(WORLDCUP!$AT$6:$AT$97,MATCH(X39,WORLDCUP!$AI$6:$AI$97,0))</f>
        <v>-6</v>
      </c>
      <c r="W39" s="234" t="str">
        <f>+INDEX(WORLDCUP!$AR$6:$AR$97,MATCH(X39,WORLDCUP!$AI$6:$AI$97,0))&amp;"-"&amp;INDEX(WORLDCUP!$AS$6:$AS$97,MATCH(X39,WORLDCUP!$AI$6:$AI$97,0))</f>
        <v>2-8</v>
      </c>
      <c r="X39" s="31" t="s">
        <v>122</v>
      </c>
      <c r="Y39" s="31">
        <v>86</v>
      </c>
      <c r="Z39" s="180" t="s">
        <v>114</v>
      </c>
      <c r="AA39" s="181" t="str">
        <f>+MID(INDEX(WORLDCUP!$AA$101:$AA$147,MATCH(Y39,WORLDCUP!$Z$101:$Z$147,0)),1,3)</f>
        <v>Arg</v>
      </c>
      <c r="AB39" s="182">
        <f>+IF(ISBLANK(INDEX(WORLDCUP!$AC$101:$AC$147,MATCH(Y39,WORLDCUP!$Z$101:$Z$147,0))),"",INDEX(WORLDCUP!$AC$101:$AC$147,MATCH(Y39,WORLDCUP!$Z$101:$Z$147,0)))</f>
        <v>3</v>
      </c>
      <c r="AC39" s="253" t="str">
        <f>+IF(ISBLANK(INDEX(WORLDCUP!$AB$101:$AB$147,MATCH(Y39,WORLDCUP!$Z$101:$Z$147,0))),"","( "&amp;INDEX(WORLDCUP!$AB$101:$AB$147,MATCH(Y39,WORLDCUP!$Z$101:$Z$147,0))&amp;" )")</f>
        <v/>
      </c>
      <c r="AD39" s="30"/>
      <c r="AE39" s="184"/>
      <c r="AF39" s="184"/>
      <c r="AG39" s="184"/>
      <c r="AH39" s="31"/>
      <c r="AI39" s="214"/>
      <c r="AJ39" s="214"/>
      <c r="AK39" s="254"/>
      <c r="AL39" s="170"/>
      <c r="AM39" s="186"/>
      <c r="AN39" s="186"/>
      <c r="AO39" s="186"/>
      <c r="AP39" s="31"/>
      <c r="AQ39" s="215"/>
      <c r="AR39" s="215"/>
      <c r="AS39" s="215"/>
      <c r="AT39" s="31"/>
      <c r="AU39" s="188"/>
      <c r="AV39" s="188"/>
      <c r="AW39" s="188"/>
      <c r="AX39" s="31"/>
      <c r="AY39" s="28"/>
      <c r="AZ39" s="28"/>
      <c r="BA39" s="28"/>
      <c r="BB39" s="28"/>
      <c r="BC39" s="28"/>
      <c r="BD39" s="28"/>
      <c r="BE39" s="28"/>
      <c r="BG39" s="217" t="str">
        <f>Horarios!Q38</f>
        <v>Saudi Arabia</v>
      </c>
      <c r="BH39" s="218">
        <f t="shared" si="0"/>
        <v>1</v>
      </c>
      <c r="BI39" s="218">
        <f>COUNTIF(Pool!$C$130:$C$161,Fixture!BG39)-BJ39-BK39-BL39-BM39-BN39-BO39</f>
        <v>0</v>
      </c>
      <c r="BJ39" s="219">
        <f>COUNTIF(Pool!$C$182:$C$197,Fixture!BG39)-BK39-BL39-BM39-BN39-BO39</f>
        <v>0</v>
      </c>
      <c r="BK39" s="220">
        <f>COUNTIF(Pool!$C$210:$C$217,Fixture!BG39)-BL39-BM39-BN39-BO39</f>
        <v>0</v>
      </c>
      <c r="BL39" s="220">
        <f>COUNTIF(Pool!$C$226:$C$229,Fixture!BG39)-BM39-BN39-BO39</f>
        <v>0</v>
      </c>
      <c r="BM39" s="218">
        <f>COUNTIF(Pool!$C$252,Fixture!BG39)</f>
        <v>0</v>
      </c>
      <c r="BN39" s="218">
        <f>COUNTIF(Pool!$C$251,Fixture!BG39)</f>
        <v>0</v>
      </c>
      <c r="BO39" s="221">
        <f>COUNTIF(Pool!$C$250,Fixture!BG39)</f>
        <v>0</v>
      </c>
    </row>
    <row r="40" spans="1:67" ht="16.149999999999999" customHeight="1" thickBot="1">
      <c r="A40" s="31">
        <v>56</v>
      </c>
      <c r="B40" s="318"/>
      <c r="C40" s="242" t="str">
        <f>+MID(INDEX(WORLDCUP!$AA$4:$AA$147,MATCH(A40,WORLDCUP!$AH$4:$AH$147,0)),1,3)</f>
        <v>Ecu</v>
      </c>
      <c r="D40" s="243">
        <f>IF(ISBLANK(INDEX(WORLDCUP!$AC$4:$AC$147,MATCH(A40,WORLDCUP!$AH$4:$AH$147,0))),"",INDEX(WORLDCUP!$AC$4:$AC$147,MATCH(A40,WORLDCUP!$AH$4:$AH$147,0)))</f>
        <v>0</v>
      </c>
      <c r="E40" s="243">
        <f>IF(ISBLANK(INDEX(WORLDCUP!$AD$4:$AD$147,MATCH(A40,WORLDCUP!$AH$4:$AH$147,0))),"",INDEX(WORLDCUP!$AD$4:$AD$147,MATCH(A40,WORLDCUP!$AH$4:$AH$147,0)))</f>
        <v>2</v>
      </c>
      <c r="F40" s="244" t="str">
        <f>+MID(INDEX(WORLDCUP!$AF$4:$AF$147,MATCH(A40,WORLDCUP!$AH$4:$AH$147,0)),1,3)</f>
        <v>Ger</v>
      </c>
      <c r="G40" s="245"/>
      <c r="H40" s="245"/>
      <c r="I40" s="246"/>
      <c r="J40" s="246"/>
      <c r="K40" s="247"/>
      <c r="L40" s="31"/>
      <c r="M40" s="31">
        <v>72</v>
      </c>
      <c r="N40" s="319"/>
      <c r="O40" s="242" t="str">
        <f>+MID(INDEX(WORLDCUP!$AA$4:$AA$147,MATCH(M40,WORLDCUP!$AH$4:$AH$147,0)),1,3)</f>
        <v xml:space="preserve">DR </v>
      </c>
      <c r="P40" s="243">
        <f>IF(ISBLANK(INDEX(WORLDCUP!$AC$4:$AC$147,MATCH(M40,WORLDCUP!$AH$4:$AH$147,0))),"",INDEX(WORLDCUP!$AC$4:$AC$147,MATCH(M40,WORLDCUP!$AH$4:$AH$147,0)))</f>
        <v>1</v>
      </c>
      <c r="Q40" s="243">
        <f>IF(ISBLANK(INDEX(WORLDCUP!$AD$4:$AD$147,MATCH(M40,WORLDCUP!$AH$4:$AH$147,0))),"",INDEX(WORLDCUP!$AD$4:$AD$147,MATCH(M40,WORLDCUP!$AH$4:$AH$147,0)))</f>
        <v>1</v>
      </c>
      <c r="R40" s="244" t="str">
        <f>+MID(INDEX(WORLDCUP!$AF$4:$AF$147,MATCH(M40,WORLDCUP!$AH$4:$AH$147,0)),1,3)</f>
        <v>Uzb</v>
      </c>
      <c r="S40" s="245"/>
      <c r="T40" s="245"/>
      <c r="U40" s="246"/>
      <c r="V40" s="246"/>
      <c r="W40" s="247"/>
      <c r="X40" s="31"/>
      <c r="Y40" s="31">
        <v>86</v>
      </c>
      <c r="Z40" s="180" t="s">
        <v>106</v>
      </c>
      <c r="AA40" s="181" t="str">
        <f>+MID(INDEX(WORLDCUP!$AF$101:$AF$147,MATCH(Y40,WORLDCUP!$Z$101:$Z$147,0)),1,3)</f>
        <v>Uru</v>
      </c>
      <c r="AB40" s="208">
        <f>+IF(ISBLANK(INDEX(WORLDCUP!$AD$101:$AD$147,MATCH(Y40,WORLDCUP!$Z$101:$Z$147,0))),"",INDEX(WORLDCUP!$AD$101:$AD$147,MATCH(Y40,WORLDCUP!$Z$101:$Z$147,0)))</f>
        <v>1</v>
      </c>
      <c r="AC40" s="209" t="str">
        <f>+IF(ISBLANK(INDEX(WORLDCUP!$AE$101:$AE$147,MATCH(Y40,WORLDCUP!$Z$101:$Z$147,0))),"","( "&amp;INDEX(WORLDCUP!$AE$101:$AE$147,MATCH(Y40,WORLDCUP!$Z$101:$Z$147,0))&amp;" )")</f>
        <v/>
      </c>
      <c r="AD40" s="210">
        <v>95</v>
      </c>
      <c r="AE40" s="211" t="str">
        <f>+MID(INDEX(WORLDCUP!$AA$101:$AA$147,MATCH(AD40,WORLDCUP!$Z$101:$Z$147,0)),1,3)</f>
        <v>Arg</v>
      </c>
      <c r="AF40" s="212">
        <f>+IF(ISBLANK(INDEX(WORLDCUP!$AC$101:$AC$147,MATCH(AD40,WORLDCUP!$Z$101:$Z$147,0))),"",INDEX(WORLDCUP!$AC$101:$AC$147,MATCH(AD40,WORLDCUP!$Z$101:$Z$147,0)))</f>
        <v>3</v>
      </c>
      <c r="AG40" s="213" t="str">
        <f>+IF(ISBLANK(INDEX(WORLDCUP!$AB$101:$AB$147,MATCH(AD40,WORLDCUP!$Z$101:$Z$147,0))),"","( "&amp;INDEX(WORLDCUP!$AB$101:$AB$147,MATCH(AD40,WORLDCUP!$Z$101:$Z$147,0))&amp;" )")</f>
        <v/>
      </c>
      <c r="AH40" s="31"/>
      <c r="AI40" s="214"/>
      <c r="AJ40" s="214"/>
      <c r="AK40" s="254"/>
      <c r="AL40" s="170"/>
      <c r="AM40" s="186"/>
      <c r="AN40" s="186"/>
      <c r="AO40" s="186"/>
      <c r="AP40" s="31"/>
      <c r="AQ40" s="215"/>
      <c r="AR40" s="215"/>
      <c r="AS40" s="215"/>
      <c r="AT40" s="31"/>
      <c r="AU40" s="188"/>
      <c r="AV40" s="188"/>
      <c r="AW40" s="188"/>
      <c r="AX40" s="31"/>
      <c r="AY40" s="28"/>
      <c r="AZ40" s="28"/>
      <c r="BA40" s="28"/>
      <c r="BB40" s="28"/>
      <c r="BC40" s="28"/>
      <c r="BD40" s="28"/>
      <c r="BE40" s="28"/>
      <c r="BG40" s="217" t="str">
        <f>Horarios!Q39</f>
        <v>Scotland</v>
      </c>
      <c r="BH40" s="218">
        <f t="shared" si="0"/>
        <v>0</v>
      </c>
      <c r="BI40" s="218">
        <f>COUNTIF(Pool!$C$130:$C$161,Fixture!BG40)-BJ40-BK40-BL40-BM40-BN40-BO40</f>
        <v>1</v>
      </c>
      <c r="BJ40" s="219">
        <f>COUNTIF(Pool!$C$182:$C$197,Fixture!BG40)-BK40-BL40-BM40-BN40-BO40</f>
        <v>0</v>
      </c>
      <c r="BK40" s="220">
        <f>COUNTIF(Pool!$C$210:$C$217,Fixture!BG40)-BL40-BM40-BN40-BO40</f>
        <v>0</v>
      </c>
      <c r="BL40" s="220">
        <f>COUNTIF(Pool!$C$226:$C$229,Fixture!BG40)-BM40-BN40-BO40</f>
        <v>0</v>
      </c>
      <c r="BM40" s="218">
        <f>COUNTIF(Pool!$C$252,Fixture!BG40)</f>
        <v>0</v>
      </c>
      <c r="BN40" s="218">
        <f>COUNTIF(Pool!$C$251,Fixture!BG40)</f>
        <v>0</v>
      </c>
      <c r="BO40" s="221">
        <f>COUNTIF(Pool!$C$250,Fixture!BG40)</f>
        <v>0</v>
      </c>
    </row>
    <row r="41" spans="1:67">
      <c r="A41" s="31"/>
      <c r="B41" s="166"/>
      <c r="C41" s="251"/>
      <c r="D41" s="252"/>
      <c r="E41" s="252"/>
      <c r="F41" s="28"/>
      <c r="G41" s="28"/>
      <c r="H41" s="251"/>
      <c r="I41" s="28"/>
      <c r="J41" s="28"/>
      <c r="K41" s="28"/>
      <c r="L41" s="31"/>
      <c r="M41" s="31"/>
      <c r="N41" s="27"/>
      <c r="O41" s="251"/>
      <c r="P41" s="252"/>
      <c r="Q41" s="252"/>
      <c r="R41" s="28"/>
      <c r="S41" s="28"/>
      <c r="T41" s="251"/>
      <c r="U41" s="28"/>
      <c r="V41" s="28"/>
      <c r="W41" s="28"/>
      <c r="X41" s="31"/>
      <c r="Y41" s="31"/>
      <c r="Z41" s="180"/>
      <c r="AA41" s="224"/>
      <c r="AB41" s="224"/>
      <c r="AC41" s="225"/>
      <c r="AD41" s="31">
        <v>95</v>
      </c>
      <c r="AE41" s="211" t="str">
        <f>+MID(INDEX(WORLDCUP!$AF$101:$AF$147,MATCH(AD41,WORLDCUP!$Z$101:$Z$147,0)),1,3)</f>
        <v>Uni</v>
      </c>
      <c r="AF41" s="212">
        <f>+IF(ISBLANK(INDEX(WORLDCUP!$AD$101:$AD$147,MATCH(AD41,WORLDCUP!$Z$101:$Z$147,0))),"",INDEX(WORLDCUP!$AD$101:$AD$147,MATCH(AD41,WORLDCUP!$Z$101:$Z$147,0)))</f>
        <v>2</v>
      </c>
      <c r="AG41" s="270" t="str">
        <f>+IF(ISBLANK(INDEX(WORLDCUP!$AE$101:$AE$147,MATCH(AD41,WORLDCUP!$Z$101:$Z$147,0))),"","( "&amp;INDEX(WORLDCUP!$AE$101:$AE$147,MATCH(AD41,WORLDCUP!$Z$101:$Z$147,0))&amp;" )")</f>
        <v/>
      </c>
      <c r="AH41" s="31"/>
      <c r="AI41" s="214"/>
      <c r="AJ41" s="214"/>
      <c r="AK41" s="254"/>
      <c r="AL41" s="170"/>
      <c r="AM41" s="186"/>
      <c r="AN41" s="186"/>
      <c r="AO41" s="186"/>
      <c r="AP41" s="31"/>
      <c r="AQ41" s="215"/>
      <c r="AR41" s="215"/>
      <c r="AS41" s="215"/>
      <c r="AT41" s="31"/>
      <c r="AU41" s="188"/>
      <c r="AV41" s="188"/>
      <c r="AW41" s="188"/>
      <c r="AX41" s="31"/>
      <c r="AY41" s="28"/>
      <c r="AZ41" s="28"/>
      <c r="BA41" s="28"/>
      <c r="BB41" s="28"/>
      <c r="BC41" s="28"/>
      <c r="BD41" s="28"/>
      <c r="BE41" s="28"/>
      <c r="BG41" s="217" t="str">
        <f>Horarios!Q40</f>
        <v>Senegal</v>
      </c>
      <c r="BH41" s="218">
        <f t="shared" si="0"/>
        <v>0</v>
      </c>
      <c r="BI41" s="218">
        <f>COUNTIF(Pool!$C$130:$C$161,Fixture!BG41)-BJ41-BK41-BL41-BM41-BN41-BO41</f>
        <v>1</v>
      </c>
      <c r="BJ41" s="219">
        <f>COUNTIF(Pool!$C$182:$C$197,Fixture!BG41)-BK41-BL41-BM41-BN41-BO41</f>
        <v>0</v>
      </c>
      <c r="BK41" s="220">
        <f>COUNTIF(Pool!$C$210:$C$217,Fixture!BG41)-BL41-BM41-BN41-BO41</f>
        <v>0</v>
      </c>
      <c r="BL41" s="220">
        <f>COUNTIF(Pool!$C$226:$C$229,Fixture!BG41)-BM41-BN41-BO41</f>
        <v>0</v>
      </c>
      <c r="BM41" s="218">
        <f>COUNTIF(Pool!$C$252,Fixture!BG41)</f>
        <v>0</v>
      </c>
      <c r="BN41" s="218">
        <f>COUNTIF(Pool!$C$251,Fixture!BG41)</f>
        <v>0</v>
      </c>
      <c r="BO41" s="221">
        <f>COUNTIF(Pool!$C$250,Fixture!BG41)</f>
        <v>0</v>
      </c>
    </row>
    <row r="42" spans="1:67" ht="16.149999999999999" customHeight="1" thickBot="1">
      <c r="A42" s="31"/>
      <c r="B42" s="166"/>
      <c r="C42" s="251"/>
      <c r="D42" s="252"/>
      <c r="E42" s="252"/>
      <c r="F42" s="28"/>
      <c r="G42" s="28"/>
      <c r="H42" s="251"/>
      <c r="I42" s="28"/>
      <c r="J42" s="28"/>
      <c r="K42" s="28"/>
      <c r="L42" s="31"/>
      <c r="M42" s="31"/>
      <c r="N42" s="27"/>
      <c r="O42" s="251"/>
      <c r="P42" s="252"/>
      <c r="Q42" s="252"/>
      <c r="R42" s="28"/>
      <c r="S42" s="28"/>
      <c r="T42" s="251"/>
      <c r="U42" s="28"/>
      <c r="V42" s="28"/>
      <c r="W42" s="28"/>
      <c r="X42" s="31"/>
      <c r="Y42" s="31">
        <v>88</v>
      </c>
      <c r="Z42" s="180" t="s">
        <v>88</v>
      </c>
      <c r="AA42" s="181" t="str">
        <f>+MID(INDEX(WORLDCUP!$AA$101:$AA$147,MATCH(Y42,WORLDCUP!$Z$101:$Z$147,0)),1,3)</f>
        <v>Uni</v>
      </c>
      <c r="AB42" s="227">
        <f>+IF(ISBLANK(INDEX(WORLDCUP!$AC$101:$AC$147,MATCH(Y42,WORLDCUP!$Z$101:$Z$147,0))),"",INDEX(WORLDCUP!$AC$101:$AC$147,MATCH(Y42,WORLDCUP!$Z$101:$Z$147,0)))</f>
        <v>3</v>
      </c>
      <c r="AC42" s="261" t="str">
        <f>+IF(ISBLANK(INDEX(WORLDCUP!$AB$101:$AB$147,MATCH(Y42,WORLDCUP!$Z$101:$Z$147,0))),"","( "&amp;INDEX(WORLDCUP!$AB$101:$AB$147,MATCH(Y42,WORLDCUP!$Z$101:$Z$147,0))&amp;" )")</f>
        <v/>
      </c>
      <c r="AD42" s="31"/>
      <c r="AE42" s="229"/>
      <c r="AF42" s="229"/>
      <c r="AG42" s="230"/>
      <c r="AH42" s="31"/>
      <c r="AI42" s="214"/>
      <c r="AJ42" s="214"/>
      <c r="AK42" s="254"/>
      <c r="AL42" s="170"/>
      <c r="AM42" s="186"/>
      <c r="AN42" s="186"/>
      <c r="AO42" s="186"/>
      <c r="AP42" s="31"/>
      <c r="AQ42" s="215"/>
      <c r="AR42" s="215"/>
      <c r="AS42" s="215"/>
      <c r="AT42" s="31"/>
      <c r="AU42" s="188"/>
      <c r="AV42" s="188"/>
      <c r="AW42" s="188"/>
      <c r="AX42" s="31"/>
      <c r="AY42" s="28"/>
      <c r="AZ42" s="28"/>
      <c r="BA42" s="28"/>
      <c r="BB42" s="28"/>
      <c r="BC42" s="28"/>
      <c r="BD42" s="28"/>
      <c r="BE42" s="28"/>
      <c r="BG42" s="217" t="str">
        <f>Horarios!Q41</f>
        <v>South Africa</v>
      </c>
      <c r="BH42" s="218">
        <f t="shared" si="0"/>
        <v>1</v>
      </c>
      <c r="BI42" s="218">
        <f>COUNTIF(Pool!$C$130:$C$161,Fixture!BG42)-BJ42-BK42-BL42-BM42-BN42-BO42</f>
        <v>0</v>
      </c>
      <c r="BJ42" s="219">
        <f>COUNTIF(Pool!$C$182:$C$197,Fixture!BG42)-BK42-BL42-BM42-BN42-BO42</f>
        <v>0</v>
      </c>
      <c r="BK42" s="220">
        <f>COUNTIF(Pool!$C$210:$C$217,Fixture!BG42)-BL42-BM42-BN42-BO42</f>
        <v>0</v>
      </c>
      <c r="BL42" s="220">
        <f>COUNTIF(Pool!$C$226:$C$229,Fixture!BG42)-BM42-BN42-BO42</f>
        <v>0</v>
      </c>
      <c r="BM42" s="218">
        <f>COUNTIF(Pool!$C$252,Fixture!BG42)</f>
        <v>0</v>
      </c>
      <c r="BN42" s="218">
        <f>COUNTIF(Pool!$C$251,Fixture!BG42)</f>
        <v>0</v>
      </c>
      <c r="BO42" s="221">
        <f>COUNTIF(Pool!$C$250,Fixture!BG42)</f>
        <v>0</v>
      </c>
    </row>
    <row r="43" spans="1:67" ht="16.149999999999999" customHeight="1" thickBot="1">
      <c r="A43" s="31">
        <v>11</v>
      </c>
      <c r="B43" s="320" t="s">
        <v>116</v>
      </c>
      <c r="C43" s="172" t="str">
        <f>+MID(INDEX(WORLDCUP!$AA$4:$AA$147,MATCH(A43,WORLDCUP!$AH$4:$AH$147,0)),1,3)</f>
        <v>Net</v>
      </c>
      <c r="D43" s="173">
        <f>IF(ISBLANK(INDEX(WORLDCUP!$AC$4:$AC$147,MATCH(A43,WORLDCUP!$AH$4:$AH$147,0))),"",INDEX(WORLDCUP!$AC$4:$AC$147,MATCH(A43,WORLDCUP!$AH$4:$AH$147,0)))</f>
        <v>2</v>
      </c>
      <c r="E43" s="173">
        <f>IF(ISBLANK(INDEX(WORLDCUP!$AD$4:$AD$147,MATCH(A43,WORLDCUP!$AH$4:$AH$147,0))),"",INDEX(WORLDCUP!$AD$4:$AD$147,MATCH(A43,WORLDCUP!$AH$4:$AH$147,0)))</f>
        <v>1</v>
      </c>
      <c r="F43" s="174" t="str">
        <f>+MID(INDEX(WORLDCUP!$AF$4:$AF$147,MATCH(A43,WORLDCUP!$AH$4:$AH$147,0)),1,3)</f>
        <v>Jap</v>
      </c>
      <c r="G43" s="175"/>
      <c r="H43" s="176" t="str">
        <f>+H35</f>
        <v>Nat</v>
      </c>
      <c r="I43" s="177" t="str">
        <f>+I35</f>
        <v>Pts</v>
      </c>
      <c r="J43" s="177" t="str">
        <f>+J35</f>
        <v>GD</v>
      </c>
      <c r="K43" s="178" t="str">
        <f>+K35</f>
        <v>F-A</v>
      </c>
      <c r="L43" s="31"/>
      <c r="M43" s="31">
        <v>22</v>
      </c>
      <c r="N43" s="321" t="s">
        <v>134</v>
      </c>
      <c r="O43" s="172" t="str">
        <f>+MID(INDEX(WORLDCUP!$AA$4:$AA$147,MATCH(M43,WORLDCUP!$AH$4:$AH$147,0)),1,3)</f>
        <v>Eng</v>
      </c>
      <c r="P43" s="173">
        <f>IF(ISBLANK(INDEX(WORLDCUP!$AC$4:$AC$147,MATCH(M43,WORLDCUP!$AH$4:$AH$147,0))),"",INDEX(WORLDCUP!$AC$4:$AC$147,MATCH(M43,WORLDCUP!$AH$4:$AH$147,0)))</f>
        <v>2</v>
      </c>
      <c r="Q43" s="173">
        <f>IF(ISBLANK(INDEX(WORLDCUP!$AD$4:$AD$147,MATCH(M43,WORLDCUP!$AH$4:$AH$147,0))),"",INDEX(WORLDCUP!$AD$4:$AD$147,MATCH(M43,WORLDCUP!$AH$4:$AH$147,0)))</f>
        <v>2</v>
      </c>
      <c r="R43" s="174" t="str">
        <f>+MID(INDEX(WORLDCUP!$AF$4:$AF$147,MATCH(M43,WORLDCUP!$AH$4:$AH$147,0)),1,3)</f>
        <v>Cro</v>
      </c>
      <c r="S43" s="175"/>
      <c r="T43" s="176" t="str">
        <f>+T35</f>
        <v>Nat</v>
      </c>
      <c r="U43" s="177" t="str">
        <f>+U35</f>
        <v>Pts</v>
      </c>
      <c r="V43" s="177" t="str">
        <f>+V35</f>
        <v>GD</v>
      </c>
      <c r="W43" s="178" t="str">
        <f>+W35</f>
        <v>F-A</v>
      </c>
      <c r="X43" s="31"/>
      <c r="Y43" s="31">
        <v>88</v>
      </c>
      <c r="Z43" s="180" t="s">
        <v>102</v>
      </c>
      <c r="AA43" s="235" t="str">
        <f>+MID(INDEX(WORLDCUP!$AF$101:$AF$147,MATCH(Y43,WORLDCUP!$Z$101:$Z$147,0)),1,3)</f>
        <v>Ira</v>
      </c>
      <c r="AB43" s="236">
        <f>+IF(ISBLANK(INDEX(WORLDCUP!$AD$101:$AD$147,MATCH(Y43,WORLDCUP!$Z$101:$Z$147,0))),"",INDEX(WORLDCUP!$AD$101:$AD$147,MATCH(Y43,WORLDCUP!$Z$101:$Z$147,0)))</f>
        <v>2</v>
      </c>
      <c r="AC43" s="262" t="str">
        <f>+IF(ISBLANK(INDEX(WORLDCUP!$AE$101:$AE$147,MATCH(Y43,WORLDCUP!$Z$101:$Z$147,0))),"","( "&amp;INDEX(WORLDCUP!$AE$101:$AE$147,MATCH(Y43,WORLDCUP!$Z$101:$Z$147,0))&amp;" )")</f>
        <v/>
      </c>
      <c r="AD43" s="31"/>
      <c r="AE43" s="229"/>
      <c r="AF43" s="229"/>
      <c r="AG43" s="230"/>
      <c r="AH43" s="255">
        <v>100</v>
      </c>
      <c r="AI43" s="238" t="str">
        <f>+MID(INDEX(WORLDCUP!$AA$101:$AA$147,MATCH(AH43,WORLDCUP!$Z$101:$Z$147,0)),1,3)</f>
        <v>Arg</v>
      </c>
      <c r="AJ43" s="239">
        <f>+IF(ISBLANK(INDEX(WORLDCUP!$AC$101:$AC$147,MATCH(AH43,WORLDCUP!$Z$101:$Z$147,0))),"",INDEX(WORLDCUP!$AC$101:$AC$147,MATCH(AH43,WORLDCUP!$Z$101:$Z$147,0)))</f>
        <v>2</v>
      </c>
      <c r="AK43" s="275" t="str">
        <f>+IF(ISBLANK(INDEX(WORLDCUP!$AB$101:$AB$147,MATCH(AH43,WORLDCUP!$Z$101:$Z$147,0))),"","( "&amp;INDEX(WORLDCUP!$AB$101:$AB$147,MATCH(AH43,WORLDCUP!$Z$101:$Z$147,0))&amp;" )")</f>
        <v/>
      </c>
      <c r="AL43" s="170"/>
      <c r="AM43" s="186"/>
      <c r="AN43" s="186"/>
      <c r="AO43" s="186"/>
      <c r="AP43" s="31"/>
      <c r="AQ43" s="215"/>
      <c r="AR43" s="215"/>
      <c r="AS43" s="215"/>
      <c r="AT43" s="31"/>
      <c r="AU43" s="188"/>
      <c r="AV43" s="188"/>
      <c r="AW43" s="188"/>
      <c r="AX43" s="31"/>
      <c r="AY43" s="28"/>
      <c r="AZ43" s="28"/>
      <c r="BA43" s="28"/>
      <c r="BB43" s="28"/>
      <c r="BC43" s="28"/>
      <c r="BD43" s="28"/>
      <c r="BE43" s="28"/>
      <c r="BG43" s="217" t="str">
        <f>Horarios!Q42</f>
        <v>South Korea</v>
      </c>
      <c r="BH43" s="218">
        <f t="shared" si="0"/>
        <v>0</v>
      </c>
      <c r="BI43" s="218">
        <f>COUNTIF(Pool!$C$130:$C$161,Fixture!BG43)-BJ43-BK43-BL43-BM43-BN43-BO43</f>
        <v>0</v>
      </c>
      <c r="BJ43" s="219">
        <f>COUNTIF(Pool!$C$182:$C$197,Fixture!BG43)-BK43-BL43-BM43-BN43-BO43</f>
        <v>1</v>
      </c>
      <c r="BK43" s="220">
        <f>COUNTIF(Pool!$C$210:$C$217,Fixture!BG43)-BL43-BM43-BN43-BO43</f>
        <v>0</v>
      </c>
      <c r="BL43" s="220">
        <f>COUNTIF(Pool!$C$226:$C$229,Fixture!BG43)-BM43-BN43-BO43</f>
        <v>0</v>
      </c>
      <c r="BM43" s="218">
        <f>COUNTIF(Pool!$C$252,Fixture!BG43)</f>
        <v>0</v>
      </c>
      <c r="BN43" s="218">
        <f>COUNTIF(Pool!$C$251,Fixture!BG43)</f>
        <v>0</v>
      </c>
      <c r="BO43" s="221">
        <f>COUNTIF(Pool!$C$250,Fixture!BG43)</f>
        <v>0</v>
      </c>
    </row>
    <row r="44" spans="1:67">
      <c r="A44" s="31">
        <v>12</v>
      </c>
      <c r="B44" s="322"/>
      <c r="C44" s="199" t="str">
        <f>+MID(INDEX(WORLDCUP!$AA$4:$AA$147,MATCH(A44,WORLDCUP!$AH$4:$AH$147,0)),1,3)</f>
        <v>Swe</v>
      </c>
      <c r="D44" s="200">
        <f>IF(ISBLANK(INDEX(WORLDCUP!$AC$4:$AC$147,MATCH(A44,WORLDCUP!$AH$4:$AH$147,0))),"",INDEX(WORLDCUP!$AC$4:$AC$147,MATCH(A44,WORLDCUP!$AH$4:$AH$147,0)))</f>
        <v>2</v>
      </c>
      <c r="E44" s="200">
        <f>IF(ISBLANK(INDEX(WORLDCUP!$AD$4:$AD$147,MATCH(A44,WORLDCUP!$AH$4:$AH$147,0))),"",INDEX(WORLDCUP!$AD$4:$AD$147,MATCH(A44,WORLDCUP!$AH$4:$AH$147,0)))</f>
        <v>0</v>
      </c>
      <c r="F44" s="201" t="str">
        <f>+MID(INDEX(WORLDCUP!$AF$4:$AF$147,MATCH(A44,WORLDCUP!$AH$4:$AH$147,0)),1,3)</f>
        <v>Tun</v>
      </c>
      <c r="G44" s="202">
        <v>1</v>
      </c>
      <c r="H44" s="203" t="str">
        <f>+MID(INDEX(WORLDCUP!$AL$6:$AL$97,MATCH(L44,WORLDCUP!$AI$6:$AI$97,0)),1,3)</f>
        <v>Net</v>
      </c>
      <c r="I44" s="204">
        <f>+INDEX(WORLDCUP!$AM$6:$AM$97,MATCH(L44,WORLDCUP!$AI$6:$AI$97,0))</f>
        <v>9</v>
      </c>
      <c r="J44" s="205">
        <f>+INDEX(WORLDCUP!$AT$6:$AT$97,MATCH(L44,WORLDCUP!$AI$6:$AI$97,0))</f>
        <v>4</v>
      </c>
      <c r="K44" s="206" t="str">
        <f>+INDEX(WORLDCUP!$AR$6:$AR$97,MATCH(L44,WORLDCUP!$AI$6:$AI$97,0))&amp;"-"&amp;INDEX(WORLDCUP!$AS$6:$AS$97,MATCH(L44,WORLDCUP!$AI$6:$AI$97,0))</f>
        <v>6-2</v>
      </c>
      <c r="L44" s="31" t="s">
        <v>96</v>
      </c>
      <c r="M44" s="31">
        <v>21</v>
      </c>
      <c r="N44" s="323"/>
      <c r="O44" s="199" t="str">
        <f>+MID(INDEX(WORLDCUP!$AA$4:$AA$147,MATCH(M44,WORLDCUP!$AH$4:$AH$147,0)),1,3)</f>
        <v>Gha</v>
      </c>
      <c r="P44" s="200">
        <f>IF(ISBLANK(INDEX(WORLDCUP!$AC$4:$AC$147,MATCH(M44,WORLDCUP!$AH$4:$AH$147,0))),"",INDEX(WORLDCUP!$AC$4:$AC$147,MATCH(M44,WORLDCUP!$AH$4:$AH$147,0)))</f>
        <v>2</v>
      </c>
      <c r="Q44" s="200">
        <f>IF(ISBLANK(INDEX(WORLDCUP!$AD$4:$AD$147,MATCH(M44,WORLDCUP!$AH$4:$AH$147,0))),"",INDEX(WORLDCUP!$AD$4:$AD$147,MATCH(M44,WORLDCUP!$AH$4:$AH$147,0)))</f>
        <v>0</v>
      </c>
      <c r="R44" s="201" t="str">
        <f>+MID(INDEX(WORLDCUP!$AF$4:$AF$147,MATCH(M44,WORLDCUP!$AH$4:$AH$147,0)),1,3)</f>
        <v>Pan</v>
      </c>
      <c r="S44" s="202">
        <v>1</v>
      </c>
      <c r="T44" s="203" t="str">
        <f>+MID(INDEX(WORLDCUP!$AL$6:$AL$97,MATCH(X44,WORLDCUP!$AI$6:$AI$97,0)),1,3)</f>
        <v>Eng</v>
      </c>
      <c r="U44" s="204">
        <f>+INDEX(WORLDCUP!$AM$6:$AM$97,MATCH(X44,WORLDCUP!$AI$6:$AI$97,0))</f>
        <v>7</v>
      </c>
      <c r="V44" s="205">
        <f>+INDEX(WORLDCUP!$AT$6:$AT$97,MATCH(X44,WORLDCUP!$AI$6:$AI$97,0))</f>
        <v>4</v>
      </c>
      <c r="W44" s="206" t="str">
        <f>+INDEX(WORLDCUP!$AR$6:$AR$97,MATCH(X44,WORLDCUP!$AI$6:$AI$97,0))&amp;"-"&amp;INDEX(WORLDCUP!$AS$6:$AS$97,MATCH(X44,WORLDCUP!$AI$6:$AI$97,0))</f>
        <v>7-3</v>
      </c>
      <c r="X44" s="31" t="s">
        <v>123</v>
      </c>
      <c r="Y44" s="31"/>
      <c r="Z44" s="180"/>
      <c r="AA44" s="249"/>
      <c r="AB44" s="249"/>
      <c r="AC44" s="249"/>
      <c r="AD44" s="31"/>
      <c r="AE44" s="184"/>
      <c r="AF44" s="184"/>
      <c r="AG44" s="230"/>
      <c r="AH44" s="31">
        <v>100</v>
      </c>
      <c r="AI44" s="238" t="str">
        <f>+MID(INDEX(WORLDCUP!$AF$101:$AF$147,MATCH(AH44,WORLDCUP!$Z$101:$Z$147,0)),1,3)</f>
        <v>Por</v>
      </c>
      <c r="AJ44" s="239">
        <f>+IF(ISBLANK(INDEX(WORLDCUP!$AD$101:$AD$147,MATCH(AH44,WORLDCUP!$Z$101:$Z$147,0))),"",INDEX(WORLDCUP!$AD$101:$AD$147,MATCH(AH44,WORLDCUP!$Z$101:$Z$147,0)))</f>
        <v>3</v>
      </c>
      <c r="AK44" s="214" t="str">
        <f>+IF(ISBLANK(INDEX(WORLDCUP!$AE$101:$AE$147,MATCH(AH44,WORLDCUP!$Z$101:$Z$147,0))),"","( "&amp;INDEX(WORLDCUP!$AE$101:$AE$147,MATCH(AH44,WORLDCUP!$Z$101:$Z$147,0))&amp;" )")</f>
        <v/>
      </c>
      <c r="AL44" s="170"/>
      <c r="AM44" s="186"/>
      <c r="AN44" s="186"/>
      <c r="AO44" s="186"/>
      <c r="AP44" s="31"/>
      <c r="AQ44" s="215"/>
      <c r="AR44" s="215"/>
      <c r="AS44" s="215"/>
      <c r="AT44" s="31"/>
      <c r="AU44" s="188"/>
      <c r="AV44" s="188"/>
      <c r="AW44" s="188"/>
      <c r="AX44" s="31"/>
      <c r="AY44" s="28"/>
      <c r="AZ44" s="28"/>
      <c r="BA44" s="28"/>
      <c r="BB44" s="28"/>
      <c r="BC44" s="28"/>
      <c r="BD44" s="28"/>
      <c r="BE44" s="28"/>
      <c r="BG44" s="217" t="str">
        <f>Horarios!Q43</f>
        <v>Spain</v>
      </c>
      <c r="BH44" s="218">
        <f t="shared" si="0"/>
        <v>0</v>
      </c>
      <c r="BI44" s="218">
        <f>COUNTIF(Pool!$C$130:$C$161,Fixture!BG44)-BJ44-BK44-BL44-BM44-BN44-BO44</f>
        <v>0</v>
      </c>
      <c r="BJ44" s="219">
        <f>COUNTIF(Pool!$C$182:$C$197,Fixture!BG44)-BK44-BL44-BM44-BN44-BO44</f>
        <v>0</v>
      </c>
      <c r="BK44" s="220">
        <f>COUNTIF(Pool!$C$210:$C$217,Fixture!BG44)-BL44-BM44-BN44-BO44</f>
        <v>0</v>
      </c>
      <c r="BL44" s="220">
        <f>COUNTIF(Pool!$C$226:$C$229,Fixture!BG44)-BM44-BN44-BO44</f>
        <v>0</v>
      </c>
      <c r="BM44" s="218">
        <f>COUNTIF(Pool!$C$252,Fixture!BG44)</f>
        <v>0</v>
      </c>
      <c r="BN44" s="218">
        <f>COUNTIF(Pool!$C$251,Fixture!BG44)</f>
        <v>1</v>
      </c>
      <c r="BO44" s="221">
        <f>COUNTIF(Pool!$C$250,Fixture!BG44)</f>
        <v>0</v>
      </c>
    </row>
    <row r="45" spans="1:67" ht="16.149999999999999" customHeight="1" thickBot="1">
      <c r="A45" s="31">
        <v>35</v>
      </c>
      <c r="B45" s="322"/>
      <c r="C45" s="199" t="str">
        <f>+MID(INDEX(WORLDCUP!$AA$4:$AA$147,MATCH(A45,WORLDCUP!$AH$4:$AH$147,0)),1,3)</f>
        <v>Net</v>
      </c>
      <c r="D45" s="200">
        <f>IF(ISBLANK(INDEX(WORLDCUP!$AC$4:$AC$147,MATCH(A45,WORLDCUP!$AH$4:$AH$147,0))),"",INDEX(WORLDCUP!$AC$4:$AC$147,MATCH(A45,WORLDCUP!$AH$4:$AH$147,0)))</f>
        <v>2</v>
      </c>
      <c r="E45" s="200">
        <f>IF(ISBLANK(INDEX(WORLDCUP!$AD$4:$AD$147,MATCH(A45,WORLDCUP!$AH$4:$AH$147,0))),"",INDEX(WORLDCUP!$AD$4:$AD$147,MATCH(A45,WORLDCUP!$AH$4:$AH$147,0)))</f>
        <v>1</v>
      </c>
      <c r="F45" s="201" t="str">
        <f>+MID(INDEX(WORLDCUP!$AF$4:$AF$147,MATCH(A45,WORLDCUP!$AH$4:$AH$147,0)),1,3)</f>
        <v>Swe</v>
      </c>
      <c r="G45" s="222">
        <v>2</v>
      </c>
      <c r="H45" s="223" t="str">
        <f>+MID(INDEX(WORLDCUP!$AL$6:$AL$97,MATCH(L45,WORLDCUP!$AI$6:$AI$97,0)),1,3)</f>
        <v>Swe</v>
      </c>
      <c r="I45" s="12">
        <f>+INDEX(WORLDCUP!$AM$6:$AM$97,MATCH(L45,WORLDCUP!$AI$6:$AI$97,0))</f>
        <v>6</v>
      </c>
      <c r="J45" s="13">
        <f>+INDEX(WORLDCUP!$AT$6:$AT$97,MATCH(L45,WORLDCUP!$AI$6:$AI$97,0))</f>
        <v>3</v>
      </c>
      <c r="K45" s="14" t="str">
        <f>+INDEX(WORLDCUP!$AR$6:$AR$97,MATCH(L45,WORLDCUP!$AI$6:$AI$97,0))&amp;"-"&amp;INDEX(WORLDCUP!$AS$6:$AS$97,MATCH(L45,WORLDCUP!$AI$6:$AI$97,0))</f>
        <v>5-2</v>
      </c>
      <c r="L45" s="31" t="s">
        <v>97</v>
      </c>
      <c r="M45" s="31">
        <v>45</v>
      </c>
      <c r="N45" s="323"/>
      <c r="O45" s="199" t="str">
        <f>+MID(INDEX(WORLDCUP!$AA$4:$AA$147,MATCH(M45,WORLDCUP!$AH$4:$AH$147,0)),1,3)</f>
        <v>Eng</v>
      </c>
      <c r="P45" s="200">
        <f>IF(ISBLANK(INDEX(WORLDCUP!$AC$4:$AC$147,MATCH(M45,WORLDCUP!$AH$4:$AH$147,0))),"",INDEX(WORLDCUP!$AC$4:$AC$147,MATCH(M45,WORLDCUP!$AH$4:$AH$147,0)))</f>
        <v>2</v>
      </c>
      <c r="Q45" s="200">
        <f>IF(ISBLANK(INDEX(WORLDCUP!$AD$4:$AD$147,MATCH(M45,WORLDCUP!$AH$4:$AH$147,0))),"",INDEX(WORLDCUP!$AD$4:$AD$147,MATCH(M45,WORLDCUP!$AH$4:$AH$147,0)))</f>
        <v>1</v>
      </c>
      <c r="R45" s="201" t="str">
        <f>+MID(INDEX(WORLDCUP!$AF$4:$AF$147,MATCH(M45,WORLDCUP!$AH$4:$AH$147,0)),1,3)</f>
        <v>Gha</v>
      </c>
      <c r="S45" s="222">
        <v>2</v>
      </c>
      <c r="T45" s="223" t="str">
        <f>+MID(INDEX(WORLDCUP!$AL$6:$AL$97,MATCH(X45,WORLDCUP!$AI$6:$AI$97,0)),1,3)</f>
        <v>Cro</v>
      </c>
      <c r="U45" s="12">
        <f>+INDEX(WORLDCUP!$AM$6:$AM$97,MATCH(X45,WORLDCUP!$AI$6:$AI$97,0))</f>
        <v>7</v>
      </c>
      <c r="V45" s="13">
        <f>+INDEX(WORLDCUP!$AT$6:$AT$97,MATCH(X45,WORLDCUP!$AI$6:$AI$97,0))</f>
        <v>3</v>
      </c>
      <c r="W45" s="14" t="str">
        <f>+INDEX(WORLDCUP!$AR$6:$AR$97,MATCH(X45,WORLDCUP!$AI$6:$AI$97,0))&amp;"-"&amp;INDEX(WORLDCUP!$AS$6:$AS$97,MATCH(X45,WORLDCUP!$AI$6:$AI$97,0))</f>
        <v>6-3</v>
      </c>
      <c r="X45" s="31" t="s">
        <v>124</v>
      </c>
      <c r="Y45" s="31">
        <v>85</v>
      </c>
      <c r="Z45" s="180" t="s">
        <v>78</v>
      </c>
      <c r="AA45" s="181" t="str">
        <f>+MID(INDEX(WORLDCUP!$AA$101:$AA$147,MATCH(Y45,WORLDCUP!$Z$101:$Z$147,0)),1,3)</f>
        <v>Swi</v>
      </c>
      <c r="AB45" s="182">
        <f>+IF(ISBLANK(INDEX(WORLDCUP!$AC$101:$AC$147,MATCH(Y45,WORLDCUP!$Z$101:$Z$147,0))),"",INDEX(WORLDCUP!$AC$101:$AC$147,MATCH(Y45,WORLDCUP!$Z$101:$Z$147,0)))</f>
        <v>2</v>
      </c>
      <c r="AC45" s="253" t="str">
        <f>+IF(ISBLANK(INDEX(WORLDCUP!$AB$101:$AB$147,MATCH(Y45,WORLDCUP!$Z$101:$Z$147,0))),"","( "&amp;INDEX(WORLDCUP!$AB$101:$AB$147,MATCH(Y45,WORLDCUP!$Z$101:$Z$147,0))&amp;" )")</f>
        <v/>
      </c>
      <c r="AD45" s="30"/>
      <c r="AE45" s="184"/>
      <c r="AF45" s="184"/>
      <c r="AG45" s="230"/>
      <c r="AH45" s="31"/>
      <c r="AI45" s="214"/>
      <c r="AJ45" s="214"/>
      <c r="AK45" s="214"/>
      <c r="AL45" s="170"/>
      <c r="AM45" s="186"/>
      <c r="AN45" s="186"/>
      <c r="AO45" s="186"/>
      <c r="AP45" s="31"/>
      <c r="AQ45" s="215"/>
      <c r="AR45" s="215"/>
      <c r="AS45" s="215"/>
      <c r="AT45" s="31"/>
      <c r="AU45" s="188"/>
      <c r="AV45" s="188"/>
      <c r="AW45" s="188"/>
      <c r="AX45" s="31"/>
      <c r="AY45" s="28"/>
      <c r="AZ45" s="28"/>
      <c r="BA45" s="28"/>
      <c r="BB45" s="28"/>
      <c r="BC45" s="28"/>
      <c r="BD45" s="28"/>
      <c r="BE45" s="28"/>
      <c r="BG45" s="217" t="str">
        <f>Horarios!Q44</f>
        <v>Sweden</v>
      </c>
      <c r="BH45" s="218">
        <f t="shared" si="0"/>
        <v>0</v>
      </c>
      <c r="BI45" s="218">
        <f>COUNTIF(Pool!$C$130:$C$161,Fixture!BG45)-BJ45-BK45-BL45-BM45-BN45-BO45</f>
        <v>1</v>
      </c>
      <c r="BJ45" s="219">
        <f>COUNTIF(Pool!$C$182:$C$197,Fixture!BG45)-BK45-BL45-BM45-BN45-BO45</f>
        <v>0</v>
      </c>
      <c r="BK45" s="220">
        <f>COUNTIF(Pool!$C$210:$C$217,Fixture!BG45)-BL45-BM45-BN45-BO45</f>
        <v>0</v>
      </c>
      <c r="BL45" s="220">
        <f>COUNTIF(Pool!$C$226:$C$229,Fixture!BG45)-BM45-BN45-BO45</f>
        <v>0</v>
      </c>
      <c r="BM45" s="218">
        <f>COUNTIF(Pool!$C$252,Fixture!BG45)</f>
        <v>0</v>
      </c>
      <c r="BN45" s="218">
        <f>COUNTIF(Pool!$C$251,Fixture!BG45)</f>
        <v>0</v>
      </c>
      <c r="BO45" s="221">
        <f>COUNTIF(Pool!$C$250,Fixture!BG45)</f>
        <v>0</v>
      </c>
    </row>
    <row r="46" spans="1:67" ht="16.149999999999999" customHeight="1" thickBot="1">
      <c r="A46" s="31">
        <v>36</v>
      </c>
      <c r="B46" s="322"/>
      <c r="C46" s="199" t="str">
        <f>+MID(INDEX(WORLDCUP!$AA$4:$AA$147,MATCH(A46,WORLDCUP!$AH$4:$AH$147,0)),1,3)</f>
        <v>Tun</v>
      </c>
      <c r="D46" s="200">
        <f>IF(ISBLANK(INDEX(WORLDCUP!$AC$4:$AC$147,MATCH(A46,WORLDCUP!$AH$4:$AH$147,0))),"",INDEX(WORLDCUP!$AC$4:$AC$147,MATCH(A46,WORLDCUP!$AH$4:$AH$147,0)))</f>
        <v>0</v>
      </c>
      <c r="E46" s="200">
        <f>IF(ISBLANK(INDEX(WORLDCUP!$AD$4:$AD$147,MATCH(A46,WORLDCUP!$AH$4:$AH$147,0))),"",INDEX(WORLDCUP!$AD$4:$AD$147,MATCH(A46,WORLDCUP!$AH$4:$AH$147,0)))</f>
        <v>2</v>
      </c>
      <c r="F46" s="201" t="str">
        <f>+MID(INDEX(WORLDCUP!$AF$4:$AF$147,MATCH(A46,WORLDCUP!$AH$4:$AH$147,0)),1,3)</f>
        <v>Jap</v>
      </c>
      <c r="G46" s="222">
        <v>3</v>
      </c>
      <c r="H46" s="223" t="str">
        <f>+MID(INDEX(WORLDCUP!$AL$6:$AL$97,MATCH(L46,WORLDCUP!$AI$6:$AI$97,0)),1,3)</f>
        <v>Jap</v>
      </c>
      <c r="I46" s="12">
        <f>+INDEX(WORLDCUP!$AM$6:$AM$97,MATCH(L46,WORLDCUP!$AI$6:$AI$97,0))</f>
        <v>3</v>
      </c>
      <c r="J46" s="13">
        <f>+INDEX(WORLDCUP!$AT$6:$AT$97,MATCH(L46,WORLDCUP!$AI$6:$AI$97,0))</f>
        <v>-1</v>
      </c>
      <c r="K46" s="14" t="str">
        <f>+INDEX(WORLDCUP!$AR$6:$AR$97,MATCH(L46,WORLDCUP!$AI$6:$AI$97,0))&amp;"-"&amp;INDEX(WORLDCUP!$AS$6:$AS$97,MATCH(L46,WORLDCUP!$AI$6:$AI$97,0))</f>
        <v>3-4</v>
      </c>
      <c r="L46" s="31" t="s">
        <v>99</v>
      </c>
      <c r="M46" s="31">
        <v>46</v>
      </c>
      <c r="N46" s="323"/>
      <c r="O46" s="199" t="str">
        <f>+MID(INDEX(WORLDCUP!$AA$4:$AA$147,MATCH(M46,WORLDCUP!$AH$4:$AH$147,0)),1,3)</f>
        <v>Pan</v>
      </c>
      <c r="P46" s="200">
        <f>IF(ISBLANK(INDEX(WORLDCUP!$AC$4:$AC$147,MATCH(M46,WORLDCUP!$AH$4:$AH$147,0))),"",INDEX(WORLDCUP!$AC$4:$AC$147,MATCH(M46,WORLDCUP!$AH$4:$AH$147,0)))</f>
        <v>0</v>
      </c>
      <c r="Q46" s="200">
        <f>IF(ISBLANK(INDEX(WORLDCUP!$AD$4:$AD$147,MATCH(M46,WORLDCUP!$AH$4:$AH$147,0))),"",INDEX(WORLDCUP!$AD$4:$AD$147,MATCH(M46,WORLDCUP!$AH$4:$AH$147,0)))</f>
        <v>2</v>
      </c>
      <c r="R46" s="201" t="str">
        <f>+MID(INDEX(WORLDCUP!$AF$4:$AF$147,MATCH(M46,WORLDCUP!$AH$4:$AH$147,0)),1,3)</f>
        <v>Cro</v>
      </c>
      <c r="S46" s="222">
        <v>3</v>
      </c>
      <c r="T46" s="223" t="str">
        <f>+MID(INDEX(WORLDCUP!$AL$6:$AL$97,MATCH(X46,WORLDCUP!$AI$6:$AI$97,0)),1,3)</f>
        <v>Gha</v>
      </c>
      <c r="U46" s="12">
        <f>+INDEX(WORLDCUP!$AM$6:$AM$97,MATCH(X46,WORLDCUP!$AI$6:$AI$97,0))</f>
        <v>3</v>
      </c>
      <c r="V46" s="13">
        <f>+INDEX(WORLDCUP!$AT$6:$AT$97,MATCH(X46,WORLDCUP!$AI$6:$AI$97,0))</f>
        <v>0</v>
      </c>
      <c r="W46" s="14" t="str">
        <f>+INDEX(WORLDCUP!$AR$6:$AR$97,MATCH(X46,WORLDCUP!$AI$6:$AI$97,0))&amp;"-"&amp;INDEX(WORLDCUP!$AS$6:$AS$97,MATCH(X46,WORLDCUP!$AI$6:$AI$97,0))</f>
        <v>4-4</v>
      </c>
      <c r="X46" s="31" t="s">
        <v>126</v>
      </c>
      <c r="Y46" s="31">
        <v>85</v>
      </c>
      <c r="Z46" s="180" t="s">
        <v>169</v>
      </c>
      <c r="AA46" s="181" t="str">
        <f>+MID(INDEX(WORLDCUP!$AF$101:$AF$147,MATCH(Y46,WORLDCUP!$Z$101:$Z$147,0)),1,IF(WORLDCUP!$H$113&lt;144,6,3))</f>
        <v>Egy</v>
      </c>
      <c r="AB46" s="208">
        <f>+IF(ISBLANK(INDEX(WORLDCUP!$AD$101:$AD$147,MATCH(Y46,WORLDCUP!$Z$101:$Z$147,0))),"",INDEX(WORLDCUP!$AD$101:$AD$147,MATCH(Y46,WORLDCUP!$Z$101:$Z$147,0)))</f>
        <v>0</v>
      </c>
      <c r="AC46" s="209" t="str">
        <f>+IF(ISBLANK(INDEX(WORLDCUP!$AE$101:$AE$147,MATCH(Y46,WORLDCUP!$Z$101:$Z$147,0))),"","( "&amp;INDEX(WORLDCUP!$AE$101:$AE$147,MATCH(Y46,WORLDCUP!$Z$101:$Z$147,0))&amp;" )")</f>
        <v/>
      </c>
      <c r="AD46" s="210">
        <v>96</v>
      </c>
      <c r="AE46" s="211" t="str">
        <f>+MID(INDEX(WORLDCUP!$AA$101:$AA$147,MATCH(AD46,WORLDCUP!$Z$101:$Z$147,0)),1,3)</f>
        <v>Swi</v>
      </c>
      <c r="AF46" s="212">
        <f>+IF(ISBLANK(INDEX(WORLDCUP!$AC$101:$AC$147,MATCH(AD46,WORLDCUP!$Z$101:$Z$147,0))),"",INDEX(WORLDCUP!$AC$101:$AC$147,MATCH(AD46,WORLDCUP!$Z$101:$Z$147,0)))</f>
        <v>1</v>
      </c>
      <c r="AG46" s="256" t="str">
        <f>+IF(ISBLANK(INDEX(WORLDCUP!$AB$101:$AB$147,MATCH(AD46,WORLDCUP!$Z$101:$Z$147,0))),"","( "&amp;INDEX(WORLDCUP!$AB$101:$AB$147,MATCH(AD46,WORLDCUP!$Z$101:$Z$147,0))&amp;" )")</f>
        <v/>
      </c>
      <c r="AH46" s="31"/>
      <c r="AI46" s="214"/>
      <c r="AJ46" s="214"/>
      <c r="AK46" s="214"/>
      <c r="AL46" s="170"/>
      <c r="AM46" s="186"/>
      <c r="AN46" s="186"/>
      <c r="AO46" s="186"/>
      <c r="AP46" s="31"/>
      <c r="AQ46" s="215"/>
      <c r="AR46" s="215"/>
      <c r="AS46" s="215"/>
      <c r="AT46" s="31"/>
      <c r="AU46" s="188"/>
      <c r="AV46" s="188"/>
      <c r="AW46" s="188"/>
      <c r="AX46" s="31"/>
      <c r="AY46" s="28"/>
      <c r="AZ46" s="28"/>
      <c r="BA46" s="28"/>
      <c r="BB46" s="28"/>
      <c r="BC46" s="28"/>
      <c r="BD46" s="28"/>
      <c r="BE46" s="28"/>
      <c r="BG46" s="217" t="str">
        <f>Horarios!Q45</f>
        <v>Switzerland</v>
      </c>
      <c r="BH46" s="218">
        <f t="shared" si="0"/>
        <v>0</v>
      </c>
      <c r="BI46" s="218">
        <f>COUNTIF(Pool!$C$130:$C$161,Fixture!BG46)-BJ46-BK46-BL46-BM46-BN46-BO46</f>
        <v>0</v>
      </c>
      <c r="BJ46" s="219">
        <f>COUNTIF(Pool!$C$182:$C$197,Fixture!BG46)-BK46-BL46-BM46-BN46-BO46</f>
        <v>1</v>
      </c>
      <c r="BK46" s="220">
        <f>COUNTIF(Pool!$C$210:$C$217,Fixture!BG46)-BL46-BM46-BN46-BO46</f>
        <v>0</v>
      </c>
      <c r="BL46" s="220">
        <f>COUNTIF(Pool!$C$226:$C$229,Fixture!BG46)-BM46-BN46-BO46</f>
        <v>0</v>
      </c>
      <c r="BM46" s="218">
        <f>COUNTIF(Pool!$C$252,Fixture!BG46)</f>
        <v>0</v>
      </c>
      <c r="BN46" s="218">
        <f>COUNTIF(Pool!$C$251,Fixture!BG46)</f>
        <v>0</v>
      </c>
      <c r="BO46" s="221">
        <f>COUNTIF(Pool!$C$250,Fixture!BG46)</f>
        <v>0</v>
      </c>
    </row>
    <row r="47" spans="1:67">
      <c r="A47" s="31">
        <v>57</v>
      </c>
      <c r="B47" s="322"/>
      <c r="C47" s="199" t="str">
        <f>+MID(INDEX(WORLDCUP!$AA$4:$AA$147,MATCH(A47,WORLDCUP!$AH$4:$AH$147,0)),1,3)</f>
        <v>Jap</v>
      </c>
      <c r="D47" s="200">
        <f>IF(ISBLANK(INDEX(WORLDCUP!$AC$4:$AC$147,MATCH(A47,WORLDCUP!$AH$4:$AH$147,0))),"",INDEX(WORLDCUP!$AC$4:$AC$147,MATCH(A47,WORLDCUP!$AH$4:$AH$147,0)))</f>
        <v>0</v>
      </c>
      <c r="E47" s="200">
        <f>IF(ISBLANK(INDEX(WORLDCUP!$AD$4:$AD$147,MATCH(A47,WORLDCUP!$AH$4:$AH$147,0))),"",INDEX(WORLDCUP!$AD$4:$AD$147,MATCH(A47,WORLDCUP!$AH$4:$AH$147,0)))</f>
        <v>2</v>
      </c>
      <c r="F47" s="201" t="str">
        <f>+MID(INDEX(WORLDCUP!$AF$4:$AF$147,MATCH(A47,WORLDCUP!$AH$4:$AH$147,0)),1,3)</f>
        <v>Swe</v>
      </c>
      <c r="G47" s="222">
        <v>4</v>
      </c>
      <c r="H47" s="231" t="str">
        <f>+MID(INDEX(WORLDCUP!$AL$6:$AL$97,MATCH(L47,WORLDCUP!$AI$6:$AI$97,0)),1,3)</f>
        <v>Tun</v>
      </c>
      <c r="I47" s="232">
        <f>+INDEX(WORLDCUP!$AM$6:$AM$97,MATCH(L47,WORLDCUP!$AI$6:$AI$97,0))</f>
        <v>0</v>
      </c>
      <c r="J47" s="233">
        <f>+INDEX(WORLDCUP!$AT$6:$AT$97,MATCH(L47,WORLDCUP!$AI$6:$AI$97,0))</f>
        <v>-6</v>
      </c>
      <c r="K47" s="234" t="str">
        <f>+INDEX(WORLDCUP!$AR$6:$AR$97,MATCH(L47,WORLDCUP!$AI$6:$AI$97,0))&amp;"-"&amp;INDEX(WORLDCUP!$AS$6:$AS$97,MATCH(L47,WORLDCUP!$AI$6:$AI$97,0))</f>
        <v>0-6</v>
      </c>
      <c r="L47" s="31" t="s">
        <v>100</v>
      </c>
      <c r="M47" s="31">
        <v>67</v>
      </c>
      <c r="N47" s="323"/>
      <c r="O47" s="199" t="str">
        <f>+MID(INDEX(WORLDCUP!$AA$4:$AA$147,MATCH(M47,WORLDCUP!$AH$4:$AH$147,0)),1,3)</f>
        <v>Pan</v>
      </c>
      <c r="P47" s="200">
        <f>IF(ISBLANK(INDEX(WORLDCUP!$AC$4:$AC$147,MATCH(M47,WORLDCUP!$AH$4:$AH$147,0))),"",INDEX(WORLDCUP!$AC$4:$AC$147,MATCH(M47,WORLDCUP!$AH$4:$AH$147,0)))</f>
        <v>0</v>
      </c>
      <c r="Q47" s="200">
        <f>IF(ISBLANK(INDEX(WORLDCUP!$AD$4:$AD$147,MATCH(M47,WORLDCUP!$AH$4:$AH$147,0))),"",INDEX(WORLDCUP!$AD$4:$AD$147,MATCH(M47,WORLDCUP!$AH$4:$AH$147,0)))</f>
        <v>3</v>
      </c>
      <c r="R47" s="201" t="str">
        <f>+MID(INDEX(WORLDCUP!$AF$4:$AF$147,MATCH(M47,WORLDCUP!$AH$4:$AH$147,0)),1,3)</f>
        <v>Eng</v>
      </c>
      <c r="S47" s="222">
        <v>4</v>
      </c>
      <c r="T47" s="231" t="str">
        <f>+MID(INDEX(WORLDCUP!$AL$6:$AL$97,MATCH(X47,WORLDCUP!$AI$6:$AI$97,0)),1,3)</f>
        <v>Pan</v>
      </c>
      <c r="U47" s="232">
        <f>+INDEX(WORLDCUP!$AM$6:$AM$97,MATCH(X47,WORLDCUP!$AI$6:$AI$97,0))</f>
        <v>0</v>
      </c>
      <c r="V47" s="233">
        <f>+INDEX(WORLDCUP!$AT$6:$AT$97,MATCH(X47,WORLDCUP!$AI$6:$AI$97,0))</f>
        <v>-7</v>
      </c>
      <c r="W47" s="234" t="str">
        <f>+INDEX(WORLDCUP!$AR$6:$AR$97,MATCH(X47,WORLDCUP!$AI$6:$AI$97,0))&amp;"-"&amp;INDEX(WORLDCUP!$AS$6:$AS$97,MATCH(X47,WORLDCUP!$AI$6:$AI$97,0))</f>
        <v>0-7</v>
      </c>
      <c r="X47" s="31" t="s">
        <v>127</v>
      </c>
      <c r="Y47" s="31"/>
      <c r="Z47" s="180"/>
      <c r="AA47" s="224"/>
      <c r="AB47" s="224"/>
      <c r="AC47" s="225"/>
      <c r="AD47" s="31">
        <v>96</v>
      </c>
      <c r="AE47" s="211" t="str">
        <f>+MID(INDEX(WORLDCUP!$AF$101:$AF$147,MATCH(AD47,WORLDCUP!$Z$101:$Z$147,0)),1,3)</f>
        <v>Por</v>
      </c>
      <c r="AF47" s="212">
        <f>+IF(ISBLANK(INDEX(WORLDCUP!$AD$101:$AD$147,MATCH(AD47,WORLDCUP!$Z$101:$Z$147,0))),"",INDEX(WORLDCUP!$AD$101:$AD$147,MATCH(AD47,WORLDCUP!$Z$101:$Z$147,0)))</f>
        <v>2</v>
      </c>
      <c r="AG47" s="229" t="str">
        <f>+IF(ISBLANK(INDEX(WORLDCUP!$AE$101:$AE$147,MATCH(AD47,WORLDCUP!$Z$101:$Z$147,0))),"","( "&amp;INDEX(WORLDCUP!$AE$101:$AE$147,MATCH(AD47,WORLDCUP!$Z$101:$Z$147,0))&amp;" )")</f>
        <v/>
      </c>
      <c r="AH47" s="31"/>
      <c r="AI47" s="214"/>
      <c r="AJ47" s="214"/>
      <c r="AK47" s="214"/>
      <c r="AL47" s="170"/>
      <c r="AM47" s="186"/>
      <c r="AN47" s="186"/>
      <c r="AO47" s="186"/>
      <c r="AP47" s="31"/>
      <c r="AQ47" s="215"/>
      <c r="AR47" s="215"/>
      <c r="AS47" s="215"/>
      <c r="AT47" s="31"/>
      <c r="AU47" s="188"/>
      <c r="AV47" s="188"/>
      <c r="AW47" s="188"/>
      <c r="AX47" s="31"/>
      <c r="AY47" s="28"/>
      <c r="AZ47" s="28"/>
      <c r="BA47" s="28"/>
      <c r="BB47" s="28"/>
      <c r="BC47" s="28"/>
      <c r="BD47" s="28"/>
      <c r="BE47" s="28"/>
      <c r="BG47" s="217" t="str">
        <f>Horarios!Q46</f>
        <v>Tunisia</v>
      </c>
      <c r="BH47" s="218">
        <f t="shared" si="0"/>
        <v>1</v>
      </c>
      <c r="BI47" s="218">
        <f>COUNTIF(Pool!$C$130:$C$161,Fixture!BG47)-BJ47-BK47-BL47-BM47-BN47-BO47</f>
        <v>0</v>
      </c>
      <c r="BJ47" s="219">
        <f>COUNTIF(Pool!$C$182:$C$197,Fixture!BG47)-BK47-BL47-BM47-BN47-BO47</f>
        <v>0</v>
      </c>
      <c r="BK47" s="220">
        <f>COUNTIF(Pool!$C$210:$C$217,Fixture!BG47)-BL47-BM47-BN47-BO47</f>
        <v>0</v>
      </c>
      <c r="BL47" s="220">
        <f>COUNTIF(Pool!$C$226:$C$229,Fixture!BG47)-BM47-BN47-BO47</f>
        <v>0</v>
      </c>
      <c r="BM47" s="218">
        <f>COUNTIF(Pool!$C$252,Fixture!BG47)</f>
        <v>0</v>
      </c>
      <c r="BN47" s="218">
        <f>COUNTIF(Pool!$C$251,Fixture!BG47)</f>
        <v>0</v>
      </c>
      <c r="BO47" s="221">
        <f>COUNTIF(Pool!$C$250,Fixture!BG47)</f>
        <v>0</v>
      </c>
    </row>
    <row r="48" spans="1:67" ht="16.149999999999999" customHeight="1" thickBot="1">
      <c r="A48" s="31">
        <v>58</v>
      </c>
      <c r="B48" s="324"/>
      <c r="C48" s="242" t="str">
        <f>+MID(INDEX(WORLDCUP!$AA$4:$AA$147,MATCH(A48,WORLDCUP!$AH$4:$AH$147,0)),1,3)</f>
        <v>Tun</v>
      </c>
      <c r="D48" s="243">
        <f>IF(ISBLANK(INDEX(WORLDCUP!$AC$4:$AC$147,MATCH(A48,WORLDCUP!$AH$4:$AH$147,0))),"",INDEX(WORLDCUP!$AC$4:$AC$147,MATCH(A48,WORLDCUP!$AH$4:$AH$147,0)))</f>
        <v>0</v>
      </c>
      <c r="E48" s="243">
        <f>IF(ISBLANK(INDEX(WORLDCUP!$AD$4:$AD$147,MATCH(A48,WORLDCUP!$AH$4:$AH$147,0))),"",INDEX(WORLDCUP!$AD$4:$AD$147,MATCH(A48,WORLDCUP!$AH$4:$AH$147,0)))</f>
        <v>2</v>
      </c>
      <c r="F48" s="244" t="str">
        <f>+MID(INDEX(WORLDCUP!$AF$4:$AF$147,MATCH(A48,WORLDCUP!$AH$4:$AH$147,0)),1,3)</f>
        <v>Net</v>
      </c>
      <c r="G48" s="245"/>
      <c r="H48" s="245"/>
      <c r="I48" s="246"/>
      <c r="J48" s="246"/>
      <c r="K48" s="247"/>
      <c r="L48" s="31"/>
      <c r="M48" s="31">
        <v>68</v>
      </c>
      <c r="N48" s="325"/>
      <c r="O48" s="242" t="str">
        <f>+MID(INDEX(WORLDCUP!$AA$4:$AA$147,MATCH(M48,WORLDCUP!$AH$4:$AH$147,0)),1,3)</f>
        <v>Cro</v>
      </c>
      <c r="P48" s="243">
        <f>IF(ISBLANK(INDEX(WORLDCUP!$AC$4:$AC$147,MATCH(M48,WORLDCUP!$AH$4:$AH$147,0))),"",INDEX(WORLDCUP!$AC$4:$AC$147,MATCH(M48,WORLDCUP!$AH$4:$AH$147,0)))</f>
        <v>2</v>
      </c>
      <c r="Q48" s="243">
        <f>IF(ISBLANK(INDEX(WORLDCUP!$AD$4:$AD$147,MATCH(M48,WORLDCUP!$AH$4:$AH$147,0))),"",INDEX(WORLDCUP!$AD$4:$AD$147,MATCH(M48,WORLDCUP!$AH$4:$AH$147,0)))</f>
        <v>1</v>
      </c>
      <c r="R48" s="244" t="str">
        <f>+MID(INDEX(WORLDCUP!$AF$4:$AF$147,MATCH(M48,WORLDCUP!$AH$4:$AH$147,0)),1,3)</f>
        <v>Gha</v>
      </c>
      <c r="S48" s="245"/>
      <c r="T48" s="245"/>
      <c r="U48" s="246"/>
      <c r="V48" s="246"/>
      <c r="W48" s="247"/>
      <c r="X48" s="31"/>
      <c r="Y48" s="31">
        <v>87</v>
      </c>
      <c r="Z48" s="180" t="s">
        <v>119</v>
      </c>
      <c r="AA48" s="181" t="str">
        <f>+MID(INDEX(WORLDCUP!$AA$101:$AA$147,MATCH(Y48,WORLDCUP!$Z$101:$Z$147,0)),1,3)</f>
        <v>Por</v>
      </c>
      <c r="AB48" s="227">
        <f>+IF(ISBLANK(INDEX(WORLDCUP!$AC$101:$AC$147,MATCH(Y48,WORLDCUP!$Z$101:$Z$147,0))),"",INDEX(WORLDCUP!$AC$101:$AC$147,MATCH(Y48,WORLDCUP!$Z$101:$Z$147,0)))</f>
        <v>3</v>
      </c>
      <c r="AC48" s="261" t="str">
        <f>+IF(ISBLANK(INDEX(WORLDCUP!$AB$101:$AB$147,MATCH(Y48,WORLDCUP!$Z$101:$Z$147,0))),"","( "&amp;INDEX(WORLDCUP!$AB$101:$AB$147,MATCH(Y48,WORLDCUP!$Z$101:$Z$147,0))&amp;" )")</f>
        <v/>
      </c>
      <c r="AD48" s="31"/>
      <c r="AE48" s="184"/>
      <c r="AF48" s="184"/>
      <c r="AG48" s="184"/>
      <c r="AH48" s="31"/>
      <c r="AI48" s="214"/>
      <c r="AJ48" s="214"/>
      <c r="AK48" s="214"/>
      <c r="AL48" s="170"/>
      <c r="AM48" s="186"/>
      <c r="AN48" s="186"/>
      <c r="AO48" s="186"/>
      <c r="AP48" s="31"/>
      <c r="AQ48" s="215"/>
      <c r="AR48" s="215"/>
      <c r="AS48" s="215"/>
      <c r="AT48" s="31"/>
      <c r="AU48" s="188"/>
      <c r="AV48" s="188"/>
      <c r="AW48" s="188"/>
      <c r="AX48" s="31"/>
      <c r="AY48" s="28"/>
      <c r="AZ48" s="28"/>
      <c r="BA48" s="28"/>
      <c r="BB48" s="28"/>
      <c r="BC48" s="28"/>
      <c r="BD48" s="28"/>
      <c r="BE48" s="28"/>
      <c r="BG48" s="217" t="str">
        <f>Horarios!Q47</f>
        <v>Turkey</v>
      </c>
      <c r="BH48" s="218">
        <f t="shared" si="0"/>
        <v>0</v>
      </c>
      <c r="BI48" s="218">
        <f>COUNTIF(Pool!$C$130:$C$161,Fixture!BG48)-BJ48-BK48-BL48-BM48-BN48-BO48</f>
        <v>0</v>
      </c>
      <c r="BJ48" s="219">
        <f>COUNTIF(Pool!$C$182:$C$197,Fixture!BG48)-BK48-BL48-BM48-BN48-BO48</f>
        <v>1</v>
      </c>
      <c r="BK48" s="220">
        <f>COUNTIF(Pool!$C$210:$C$217,Fixture!BG48)-BL48-BM48-BN48-BO48</f>
        <v>0</v>
      </c>
      <c r="BL48" s="220">
        <f>COUNTIF(Pool!$C$226:$C$229,Fixture!BG48)-BM48-BN48-BO48</f>
        <v>0</v>
      </c>
      <c r="BM48" s="218">
        <f>COUNTIF(Pool!$C$252,Fixture!BG48)</f>
        <v>0</v>
      </c>
      <c r="BN48" s="218">
        <f>COUNTIF(Pool!$C$251,Fixture!BG48)</f>
        <v>0</v>
      </c>
      <c r="BO48" s="221">
        <f>COUNTIF(Pool!$C$250,Fixture!BG48)</f>
        <v>0</v>
      </c>
    </row>
    <row r="49" spans="1:67">
      <c r="A49" s="31"/>
      <c r="B49" s="27"/>
      <c r="C49" s="28"/>
      <c r="D49" s="28"/>
      <c r="E49" s="28"/>
      <c r="F49" s="28"/>
      <c r="G49" s="28"/>
      <c r="H49" s="28"/>
      <c r="I49" s="28"/>
      <c r="J49" s="28"/>
      <c r="K49" s="28"/>
      <c r="L49" s="28"/>
      <c r="M49" s="31"/>
      <c r="N49" s="27"/>
      <c r="O49" s="28"/>
      <c r="P49" s="28"/>
      <c r="Q49" s="28"/>
      <c r="R49" s="28"/>
      <c r="S49" s="28"/>
      <c r="T49" s="28"/>
      <c r="U49" s="28"/>
      <c r="V49" s="28"/>
      <c r="W49" s="28"/>
      <c r="X49" s="31"/>
      <c r="Y49" s="31">
        <v>87</v>
      </c>
      <c r="Z49" s="180" t="s">
        <v>172</v>
      </c>
      <c r="AA49" s="235" t="str">
        <f>+MID(INDEX(WORLDCUP!$AF$101:$AF$147,MATCH(Y49,WORLDCUP!$Z$101:$Z$147,0)),1,IF(WORLDCUP!$H$113&lt;144,6,3))</f>
        <v>Gha</v>
      </c>
      <c r="AB49" s="236">
        <f>+IF(ISBLANK(INDEX(WORLDCUP!$AD$101:$AD$147,MATCH(Y49,WORLDCUP!$Z$101:$Z$147,0))),"",INDEX(WORLDCUP!$AD$101:$AD$147,MATCH(Y49,WORLDCUP!$Z$101:$Z$147,0)))</f>
        <v>1</v>
      </c>
      <c r="AC49" s="262" t="str">
        <f>+IF(ISBLANK(INDEX(WORLDCUP!$AE$101:$AE$147,MATCH(Y49,WORLDCUP!$Z$101:$Z$147,0))),"","( "&amp;INDEX(WORLDCUP!$AE$101:$AE$147,MATCH(Y49,WORLDCUP!$Z$101:$Z$147,0))&amp;" )")</f>
        <v/>
      </c>
      <c r="AD49" s="31"/>
      <c r="AE49" s="184"/>
      <c r="AF49" s="184"/>
      <c r="AG49" s="184"/>
      <c r="AH49" s="31"/>
      <c r="AI49" s="214"/>
      <c r="AJ49" s="214"/>
      <c r="AK49" s="214"/>
      <c r="AL49" s="170"/>
      <c r="AM49" s="186"/>
      <c r="AN49" s="186"/>
      <c r="AO49" s="186"/>
      <c r="AP49" s="31"/>
      <c r="AQ49" s="215"/>
      <c r="AR49" s="215"/>
      <c r="AS49" s="215"/>
      <c r="AT49" s="31"/>
      <c r="AU49" s="188"/>
      <c r="AV49" s="188"/>
      <c r="AW49" s="188"/>
      <c r="AX49" s="31"/>
      <c r="AY49" s="28"/>
      <c r="AZ49" s="28"/>
      <c r="BA49" s="28"/>
      <c r="BB49" s="28"/>
      <c r="BC49" s="28"/>
      <c r="BD49" s="28"/>
      <c r="BE49" s="28"/>
      <c r="BG49" s="217" t="str">
        <f>Horarios!Q48</f>
        <v>United States</v>
      </c>
      <c r="BH49" s="218">
        <f t="shared" si="0"/>
        <v>0</v>
      </c>
      <c r="BI49" s="218">
        <f>COUNTIF(Pool!$C$130:$C$161,Fixture!BG49)-BJ49-BK49-BL49-BM49-BN49-BO49</f>
        <v>0</v>
      </c>
      <c r="BJ49" s="219">
        <f>COUNTIF(Pool!$C$182:$C$197,Fixture!BG49)-BK49-BL49-BM49-BN49-BO49</f>
        <v>1</v>
      </c>
      <c r="BK49" s="220">
        <f>COUNTIF(Pool!$C$210:$C$217,Fixture!BG49)-BL49-BM49-BN49-BO49</f>
        <v>0</v>
      </c>
      <c r="BL49" s="220">
        <f>COUNTIF(Pool!$C$226:$C$229,Fixture!BG49)-BM49-BN49-BO49</f>
        <v>0</v>
      </c>
      <c r="BM49" s="218">
        <f>COUNTIF(Pool!$C$252,Fixture!BG49)</f>
        <v>0</v>
      </c>
      <c r="BN49" s="218">
        <f>COUNTIF(Pool!$C$251,Fixture!BG49)</f>
        <v>0</v>
      </c>
      <c r="BO49" s="221">
        <f>COUNTIF(Pool!$C$250,Fixture!BG49)</f>
        <v>0</v>
      </c>
    </row>
    <row r="50" spans="1:67" ht="15" customHeight="1">
      <c r="A50" s="31"/>
      <c r="B50" s="27"/>
      <c r="C50" s="28"/>
      <c r="D50" s="28"/>
      <c r="E50" s="28"/>
      <c r="F50" s="28"/>
      <c r="G50" s="28"/>
      <c r="H50" s="28"/>
      <c r="I50" s="28"/>
      <c r="J50" s="28"/>
      <c r="K50" s="28"/>
      <c r="L50" s="28"/>
      <c r="M50" s="31"/>
      <c r="N50" s="27"/>
      <c r="O50" s="28"/>
      <c r="P50" s="28"/>
      <c r="Q50" s="28"/>
      <c r="R50" s="28"/>
      <c r="S50" s="28"/>
      <c r="T50" s="28"/>
      <c r="U50" s="28"/>
      <c r="V50" s="28"/>
      <c r="W50" s="28"/>
      <c r="X50" s="28"/>
      <c r="Y50" s="30"/>
      <c r="Z50" s="30"/>
      <c r="AA50" s="326"/>
      <c r="AB50" s="326"/>
      <c r="AC50" s="326"/>
      <c r="AD50" s="31"/>
      <c r="AE50" s="327"/>
      <c r="AF50" s="327"/>
      <c r="AG50" s="327"/>
      <c r="AH50" s="31"/>
      <c r="AI50" s="214"/>
      <c r="AJ50" s="214"/>
      <c r="AK50" s="214"/>
      <c r="AL50" s="170"/>
      <c r="AM50" s="186"/>
      <c r="AN50" s="186"/>
      <c r="AO50" s="186"/>
      <c r="AP50" s="31"/>
      <c r="AQ50" s="187"/>
      <c r="AR50" s="187"/>
      <c r="AS50" s="187"/>
      <c r="AT50" s="31"/>
      <c r="AU50" s="328"/>
      <c r="AV50" s="328"/>
      <c r="AW50" s="328"/>
      <c r="AX50" s="31"/>
      <c r="AY50" s="28"/>
      <c r="AZ50" s="28"/>
      <c r="BA50" s="28"/>
      <c r="BB50" s="28"/>
      <c r="BC50" s="28"/>
      <c r="BD50" s="28"/>
      <c r="BE50" s="28"/>
      <c r="BG50" s="217" t="str">
        <f>Horarios!Q49</f>
        <v>Uruguay</v>
      </c>
      <c r="BH50" s="218">
        <f t="shared" si="0"/>
        <v>0</v>
      </c>
      <c r="BI50" s="218">
        <f>COUNTIF(Pool!$C$130:$C$161,Fixture!BG50)-BJ50-BK50-BL50-BM50-BN50-BO50</f>
        <v>1</v>
      </c>
      <c r="BJ50" s="219">
        <f>COUNTIF(Pool!$C$182:$C$197,Fixture!BG50)-BK50-BL50-BM50-BN50-BO50</f>
        <v>0</v>
      </c>
      <c r="BK50" s="220">
        <f>COUNTIF(Pool!$C$210:$C$217,Fixture!BG50)-BL50-BM50-BN50-BO50</f>
        <v>0</v>
      </c>
      <c r="BL50" s="220">
        <f>COUNTIF(Pool!$C$226:$C$229,Fixture!BG50)-BM50-BN50-BO50</f>
        <v>0</v>
      </c>
      <c r="BM50" s="218">
        <f>COUNTIF(Pool!$C$252,Fixture!BG50)</f>
        <v>0</v>
      </c>
      <c r="BN50" s="218">
        <f>COUNTIF(Pool!$C$251,Fixture!BG50)</f>
        <v>0</v>
      </c>
      <c r="BO50" s="221">
        <f>COUNTIF(Pool!$C$250,Fixture!BG50)</f>
        <v>0</v>
      </c>
    </row>
    <row r="51" spans="1:67">
      <c r="A51" s="31"/>
      <c r="B51" s="27"/>
      <c r="C51" s="28"/>
      <c r="D51" s="28"/>
      <c r="E51" s="28"/>
      <c r="F51" s="28"/>
      <c r="G51" s="28"/>
      <c r="H51" s="28"/>
      <c r="I51" s="28"/>
      <c r="J51" s="28"/>
      <c r="K51" s="28"/>
      <c r="L51" s="28"/>
      <c r="M51" s="31"/>
      <c r="N51" s="27"/>
      <c r="O51" s="28"/>
      <c r="P51" s="28"/>
      <c r="Q51" s="28"/>
      <c r="R51" s="28"/>
      <c r="S51" s="28"/>
      <c r="T51" s="28"/>
      <c r="U51" s="28"/>
      <c r="V51" s="28"/>
      <c r="W51" s="28"/>
      <c r="X51" s="28"/>
      <c r="Y51" s="27"/>
      <c r="Z51" s="27"/>
      <c r="AA51" s="28"/>
      <c r="AB51" s="28"/>
      <c r="AC51" s="28"/>
      <c r="AD51" s="27"/>
      <c r="AE51" s="28"/>
      <c r="AF51" s="28"/>
      <c r="AG51" s="28"/>
      <c r="AH51" s="27"/>
      <c r="AI51" s="28"/>
      <c r="AJ51" s="28"/>
      <c r="AK51" s="28"/>
      <c r="AL51" s="27"/>
      <c r="AM51" s="28"/>
      <c r="AN51" s="28"/>
      <c r="AO51" s="28"/>
      <c r="AP51" s="27"/>
      <c r="AQ51" s="28"/>
      <c r="AR51" s="28"/>
      <c r="AS51" s="28"/>
      <c r="AT51" s="27"/>
      <c r="AU51" s="28"/>
      <c r="AV51" s="28"/>
      <c r="AW51" s="28"/>
      <c r="AX51" s="28"/>
      <c r="AY51" s="28"/>
      <c r="AZ51" s="28"/>
      <c r="BA51" s="28"/>
      <c r="BB51" s="28"/>
      <c r="BC51" s="28"/>
      <c r="BD51" s="28"/>
      <c r="BE51" s="28"/>
      <c r="BG51" s="329" t="str">
        <f>Horarios!Q50</f>
        <v>Uzbekistan</v>
      </c>
      <c r="BH51" s="330">
        <f t="shared" si="0"/>
        <v>1</v>
      </c>
      <c r="BI51" s="330">
        <f>COUNTIF(Pool!$C$130:$C$161,Fixture!BG51)-BJ51-BK51-BL51-BM51-BN51-BO51</f>
        <v>0</v>
      </c>
      <c r="BJ51" s="331">
        <f>COUNTIF(Pool!$C$182:$C$197,Fixture!BG51)-BK51-BL51-BM51-BN51-BO51</f>
        <v>0</v>
      </c>
      <c r="BK51" s="332">
        <f>COUNTIF(Pool!$C$210:$C$217,Fixture!BG51)-BL51-BM51-BN51-BO51</f>
        <v>0</v>
      </c>
      <c r="BL51" s="332">
        <f>COUNTIF(Pool!$C$226:$C$229,Fixture!BG51)-BM51-BN51-BO51</f>
        <v>0</v>
      </c>
      <c r="BM51" s="330">
        <f>COUNTIF(Pool!$C$252,Fixture!BG51)</f>
        <v>0</v>
      </c>
      <c r="BN51" s="330">
        <f>COUNTIF(Pool!$C$251,Fixture!BG51)</f>
        <v>0</v>
      </c>
      <c r="BO51" s="333">
        <f>COUNTIF(Pool!$C$250,Fixture!BG51)</f>
        <v>0</v>
      </c>
    </row>
    <row r="52" spans="1:67">
      <c r="A52" s="31"/>
      <c r="B52" s="27"/>
      <c r="C52" s="28"/>
      <c r="D52" s="28"/>
      <c r="E52" s="28"/>
      <c r="F52" s="28"/>
      <c r="G52" s="28"/>
      <c r="H52" s="28"/>
      <c r="I52" s="28"/>
      <c r="J52" s="28"/>
      <c r="K52" s="28"/>
      <c r="L52" s="28"/>
      <c r="M52" s="31"/>
      <c r="N52" s="27"/>
      <c r="O52" s="28"/>
      <c r="P52" s="28"/>
      <c r="Q52" s="28"/>
      <c r="R52" s="28"/>
      <c r="S52" s="28"/>
      <c r="T52" s="28"/>
      <c r="U52" s="28"/>
      <c r="V52" s="28"/>
      <c r="W52" s="28"/>
      <c r="X52" s="28"/>
      <c r="Y52" s="27"/>
      <c r="Z52" s="27"/>
      <c r="AA52" s="28"/>
      <c r="AB52" s="28"/>
      <c r="AC52" s="28"/>
      <c r="AD52" s="27"/>
      <c r="AE52" s="28"/>
      <c r="AF52" s="28"/>
      <c r="AG52" s="28"/>
      <c r="AH52" s="27"/>
      <c r="AI52" s="28"/>
      <c r="AJ52" s="28"/>
      <c r="AK52" s="28"/>
      <c r="AL52" s="27"/>
      <c r="AM52" s="28"/>
      <c r="AN52" s="28"/>
      <c r="AO52" s="28"/>
      <c r="AP52" s="27"/>
      <c r="AQ52" s="28"/>
      <c r="AR52" s="28"/>
      <c r="AS52" s="28"/>
      <c r="AT52" s="27"/>
      <c r="AU52" s="28"/>
      <c r="AV52" s="28"/>
      <c r="AW52" s="28"/>
      <c r="AX52" s="28"/>
      <c r="AY52" s="28"/>
      <c r="AZ52" s="28"/>
      <c r="BA52" s="28"/>
      <c r="BB52" s="28"/>
      <c r="BC52" s="28"/>
      <c r="BD52" s="28"/>
      <c r="BE52" s="2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35" customWidth="1"/>
    <col min="5" max="8" width="10.7109375" style="35" customWidth="1"/>
    <col min="9" max="9" width="3.140625" style="35" customWidth="1"/>
    <col min="10" max="12" width="10.7109375" style="35" customWidth="1"/>
    <col min="13" max="13" width="3.7109375" style="35" customWidth="1"/>
    <col min="14" max="14" width="4.7109375" style="35" customWidth="1"/>
    <col min="15" max="15" width="4" customWidth="1"/>
    <col min="16" max="16" width="4.7109375" customWidth="1"/>
    <col min="17" max="18" width="10.7109375" style="1" hidden="1" customWidth="1"/>
    <col min="19" max="16384" width="10.7109375" style="1" hidden="1"/>
  </cols>
  <sheetData>
    <row r="1" spans="1:14" ht="19.899999999999999" customHeight="1">
      <c r="A1" s="85"/>
      <c r="B1" s="86"/>
      <c r="C1" s="107" t="str">
        <f>Idiomas!D102</f>
        <v>For the administrator of the pool</v>
      </c>
      <c r="D1" s="137"/>
      <c r="E1" s="650" t="str">
        <f>Idiomas!D106</f>
        <v xml:space="preserve">THE POOL ADMINISTRATOR SHOULD FOLLOW THE INSTRUCTIONS BELOW				</v>
      </c>
      <c r="F1" s="641"/>
      <c r="G1" s="641"/>
      <c r="H1" s="641"/>
      <c r="I1" s="641"/>
      <c r="J1" s="641"/>
      <c r="K1" s="641"/>
      <c r="L1" s="641"/>
      <c r="M1" s="641"/>
      <c r="N1" s="641"/>
    </row>
    <row r="2" spans="1:14" ht="19.899999999999999" customHeight="1" thickBot="1">
      <c r="A2" s="83"/>
      <c r="B2" s="84"/>
      <c r="C2" s="84"/>
      <c r="D2" s="138"/>
      <c r="E2" s="641"/>
      <c r="F2" s="641"/>
      <c r="G2" s="641"/>
      <c r="H2" s="641"/>
      <c r="I2" s="641"/>
      <c r="J2" s="641"/>
      <c r="K2" s="641"/>
      <c r="L2" s="641"/>
      <c r="M2" s="641"/>
      <c r="N2" s="641"/>
    </row>
    <row r="3" spans="1:14" ht="34.9" customHeight="1" thickBot="1">
      <c r="A3" s="83"/>
      <c r="B3" s="87" t="str">
        <f>HYPERLINK(Idiomas!D10,Idiomas!D9)</f>
        <v>▼ Download Administrator Excel File ▼</v>
      </c>
      <c r="C3" s="84"/>
      <c r="D3" s="138"/>
      <c r="E3" s="654" t="str">
        <f>Idiomas!D107</f>
        <v xml:space="preserve">·If you play the whole tournament at once de golpe select from C5 to C258 and paste in the Administrator template.			</v>
      </c>
      <c r="F3" s="644"/>
      <c r="G3" s="644"/>
      <c r="H3" s="644"/>
      <c r="I3" s="644"/>
      <c r="J3" s="644"/>
      <c r="K3" s="644"/>
      <c r="L3" s="644"/>
      <c r="M3" s="644"/>
      <c r="N3" s="655"/>
    </row>
    <row r="4" spans="1:14" ht="45" customHeight="1">
      <c r="A4" s="83"/>
      <c r="B4" s="84"/>
      <c r="C4" s="334" t="str">
        <f>Idiomas!D105</f>
        <v>PLAYER: DO NOT TOUCH, IT'S AUTOMATIC!</v>
      </c>
      <c r="D4" s="138"/>
      <c r="E4" s="648" t="str">
        <f>Idiomas!D108</f>
        <v>·If you play the whole Group Stage at the begining and later the KO rounds select from C5 to C161 and paste in the Administrator template. Also copy and paste values form C253 to C258. For the round of 32 follow the instructions.</v>
      </c>
      <c r="F4" s="643"/>
      <c r="G4" s="643"/>
      <c r="H4" s="643"/>
      <c r="I4" s="643"/>
      <c r="J4" s="643"/>
      <c r="K4" s="643"/>
      <c r="L4" s="643"/>
      <c r="M4" s="643"/>
      <c r="N4" s="146"/>
    </row>
    <row r="5" spans="1:14" ht="19.149999999999999" customHeight="1">
      <c r="A5" s="34"/>
      <c r="B5" s="124" t="str">
        <f>Idiomas!D125</f>
        <v>GROUP STAGE</v>
      </c>
      <c r="C5" s="117">
        <f>WORLDCUP!AK2</f>
        <v>0</v>
      </c>
      <c r="E5" s="660" t="str">
        <f>Idiomas!D109</f>
        <v>·If you play by Rounds, follow de instuctions of every round.</v>
      </c>
      <c r="F5" s="661"/>
      <c r="G5" s="661"/>
      <c r="H5" s="661"/>
      <c r="I5" s="661"/>
      <c r="J5" s="147"/>
      <c r="K5" s="147"/>
      <c r="L5" s="147"/>
      <c r="M5" s="148"/>
      <c r="N5" s="146"/>
    </row>
    <row r="6" spans="1:14" ht="15" customHeight="1">
      <c r="A6" s="125" t="s">
        <v>235</v>
      </c>
      <c r="B6" s="126" t="str">
        <f>CONCATENATE(WORLDCUP!AA4,"-",WORLDCUP!AF4)</f>
        <v>Mexico-South Africa</v>
      </c>
      <c r="C6" s="118" t="str">
        <f>CONCATENATE(IF(WORLDCUP!AC4&gt;WORLDCUP!AD4,1,IF(WORLDCUP!AC4&lt;WORLDCUP!AD4,2,IF(AND(WORLDCUP!AC4=WORLDCUP!AD4,WORLDCUP!AC4&lt;&gt;"",WORLDCUP!AD4&lt;&gt;""),"X",0))),"|",WORLDCUP!AC4,"-",WORLDCUP!AD4)</f>
        <v>1|2-0</v>
      </c>
      <c r="D6" s="646" t="str">
        <f>Idiomas!D122</f>
        <v>R1</v>
      </c>
      <c r="E6" s="656" t="str">
        <f>Idiomas!D110</f>
        <v>·For the 1st Round copy from C5 to C29 an paste as values in the Administrator Pool. CAUTION. Also copy and paste values form C253 to C258.</v>
      </c>
      <c r="F6" s="643"/>
      <c r="G6" s="643"/>
      <c r="H6" s="643"/>
      <c r="I6" s="149"/>
      <c r="J6" s="139"/>
      <c r="K6" s="139"/>
      <c r="L6" s="139"/>
      <c r="M6" s="148"/>
      <c r="N6" s="146"/>
    </row>
    <row r="7" spans="1:14" ht="15" customHeight="1">
      <c r="A7" s="125" t="s">
        <v>235</v>
      </c>
      <c r="B7" s="126" t="str">
        <f>CONCATENATE(WORLDCUP!AA5,"-",WORLDCUP!AF5)</f>
        <v>South Korea-Czech Republic</v>
      </c>
      <c r="C7" s="119" t="str">
        <f>CONCATENATE(IF(WORLDCUP!AC5&gt;WORLDCUP!AD5,1,IF(WORLDCUP!AC5&lt;WORLDCUP!AD5,2,IF(AND(WORLDCUP!AC5=WORLDCUP!AD5,WORLDCUP!AC5&lt;&gt;"",WORLDCUP!AD5&lt;&gt;""),"X",0))),"|",WORLDCUP!AC5,"-",WORLDCUP!AD5)</f>
        <v>2|0-1</v>
      </c>
      <c r="D7" s="644"/>
      <c r="E7" s="644"/>
      <c r="F7" s="644"/>
      <c r="G7" s="644"/>
      <c r="H7" s="644"/>
      <c r="I7" s="150"/>
      <c r="J7" s="139"/>
      <c r="K7" s="139"/>
      <c r="L7" s="139"/>
      <c r="M7" s="148"/>
      <c r="N7" s="146"/>
    </row>
    <row r="8" spans="1:14" ht="15" customHeight="1">
      <c r="A8" s="12" t="s">
        <v>236</v>
      </c>
      <c r="B8" s="127" t="str">
        <f>CONCATENATE(WORLDCUP!AA12,"-",WORLDCUP!AF12)</f>
        <v>Canada-Bosnia and Herzegovina</v>
      </c>
      <c r="C8" s="119" t="str">
        <f>CONCATENATE(IF(WORLDCUP!AC12&gt;WORLDCUP!AD12,1,IF(WORLDCUP!AC12&lt;WORLDCUP!AD12,2,IF(AND(WORLDCUP!AC12=WORLDCUP!AD12,WORLDCUP!AC12&lt;&gt;"",WORLDCUP!AD12&lt;&gt;""),"X",0))),"|",WORLDCUP!AC12,"-",WORLDCUP!AD12)</f>
        <v>1|2-0</v>
      </c>
      <c r="D8" s="644"/>
      <c r="E8" s="644"/>
      <c r="F8" s="644"/>
      <c r="G8" s="644"/>
      <c r="H8" s="644"/>
      <c r="I8" s="150"/>
      <c r="J8" s="139"/>
      <c r="K8" s="139"/>
      <c r="L8" s="139"/>
      <c r="M8" s="148"/>
      <c r="N8" s="146"/>
    </row>
    <row r="9" spans="1:14" ht="15" customHeight="1">
      <c r="A9" s="12" t="s">
        <v>236</v>
      </c>
      <c r="B9" s="127" t="str">
        <f>CONCATENATE(WORLDCUP!AA13,"-",WORLDCUP!AF13)</f>
        <v>Qatar-Switzerland</v>
      </c>
      <c r="C9" s="120" t="str">
        <f>CONCATENATE(IF(WORLDCUP!AC13&gt;WORLDCUP!AD13,1,IF(WORLDCUP!AC13&lt;WORLDCUP!AD13,2,IF(AND(WORLDCUP!AC13=WORLDCUP!AD13,WORLDCUP!AC13&lt;&gt;"",WORLDCUP!AD13&lt;&gt;""),"X",0))),"|",WORLDCUP!AC13,"-",WORLDCUP!AD13)</f>
        <v>2|0-1</v>
      </c>
      <c r="D9" s="644"/>
      <c r="E9" s="644"/>
      <c r="F9" s="644"/>
      <c r="G9" s="644"/>
      <c r="H9" s="644"/>
      <c r="I9" s="150"/>
      <c r="J9" s="139"/>
      <c r="K9" s="139"/>
      <c r="L9" s="139"/>
      <c r="M9" s="148"/>
      <c r="N9" s="146"/>
    </row>
    <row r="10" spans="1:14" ht="15" customHeight="1">
      <c r="A10" s="125" t="s">
        <v>237</v>
      </c>
      <c r="B10" s="126" t="str">
        <f>CONCATENATE(WORLDCUP!AA20,"-",WORLDCUP!AF20)</f>
        <v>Brazil-Morocco</v>
      </c>
      <c r="C10" s="120" t="str">
        <f>CONCATENATE(IF(WORLDCUP!AC20&gt;WORLDCUP!AD20,1,IF(WORLDCUP!AC20&lt;WORLDCUP!AD20,2,IF(AND(WORLDCUP!AC20=WORLDCUP!AD20,WORLDCUP!AC20&lt;&gt;"",WORLDCUP!AD20&lt;&gt;""),"X",0))),"|",WORLDCUP!AC20,"-",WORLDCUP!AD20)</f>
        <v>1|2-1</v>
      </c>
      <c r="D10" s="644"/>
      <c r="E10" s="139"/>
      <c r="F10" s="139"/>
      <c r="G10" s="139"/>
      <c r="H10" s="139"/>
      <c r="I10" s="150"/>
      <c r="J10" s="139"/>
      <c r="K10" s="139"/>
      <c r="L10" s="139"/>
      <c r="M10" s="148"/>
      <c r="N10" s="146"/>
    </row>
    <row r="11" spans="1:14" ht="15" customHeight="1">
      <c r="A11" s="125" t="s">
        <v>237</v>
      </c>
      <c r="B11" s="126" t="str">
        <f>CONCATENATE(WORLDCUP!AA21,"-",WORLDCUP!AF21)</f>
        <v>Haiti-Scotland</v>
      </c>
      <c r="C11" s="120" t="str">
        <f>CONCATENATE(IF(WORLDCUP!AC21&gt;WORLDCUP!AD21,1,IF(WORLDCUP!AC21&lt;WORLDCUP!AD21,2,IF(AND(WORLDCUP!AC21=WORLDCUP!AD21,WORLDCUP!AC21&lt;&gt;"",WORLDCUP!AD21&lt;&gt;""),"X",0))),"|",WORLDCUP!AC21,"-",WORLDCUP!AD21)</f>
        <v>2|0-2</v>
      </c>
      <c r="D11" s="644"/>
      <c r="E11" s="139"/>
      <c r="F11" s="139"/>
      <c r="G11" s="139"/>
      <c r="H11" s="139"/>
      <c r="I11" s="150"/>
      <c r="J11" s="139"/>
      <c r="K11" s="139"/>
      <c r="L11" s="139"/>
      <c r="M11" s="148"/>
      <c r="N11" s="146"/>
    </row>
    <row r="12" spans="1:14" ht="15" customHeight="1">
      <c r="A12" s="12" t="s">
        <v>238</v>
      </c>
      <c r="B12" s="127" t="str">
        <f>CONCATENATE(WORLDCUP!AA28,"-",WORLDCUP!AF28)</f>
        <v>United States-Paraguay</v>
      </c>
      <c r="C12" s="120" t="str">
        <f>CONCATENATE(IF(WORLDCUP!AC28&gt;WORLDCUP!AD28,1,IF(WORLDCUP!AC28&lt;WORLDCUP!AD28,2,IF(AND(WORLDCUP!AC28=WORLDCUP!AD28,WORLDCUP!AC28&lt;&gt;"",WORLDCUP!AD28&lt;&gt;""),"X",0))),"|",WORLDCUP!AC28,"-",WORLDCUP!AD28)</f>
        <v>1|1-0</v>
      </c>
      <c r="D12" s="644"/>
      <c r="E12" s="139"/>
      <c r="F12" s="139"/>
      <c r="G12" s="139"/>
      <c r="H12" s="139"/>
      <c r="I12" s="150"/>
      <c r="J12" s="139"/>
      <c r="K12" s="139"/>
      <c r="L12" s="139"/>
      <c r="M12" s="148"/>
      <c r="N12" s="146"/>
    </row>
    <row r="13" spans="1:14" ht="15" customHeight="1">
      <c r="A13" s="12" t="s">
        <v>238</v>
      </c>
      <c r="B13" s="127" t="str">
        <f>CONCATENATE(WORLDCUP!AA29,"-",WORLDCUP!AF29)</f>
        <v>Australia-Turkey</v>
      </c>
      <c r="C13" s="120" t="str">
        <f>CONCATENATE(IF(WORLDCUP!AC29&gt;WORLDCUP!AD29,1,IF(WORLDCUP!AC29&lt;WORLDCUP!AD29,2,IF(AND(WORLDCUP!AC29=WORLDCUP!AD29,WORLDCUP!AC29&lt;&gt;"",WORLDCUP!AD29&lt;&gt;""),"X",0))),"|",WORLDCUP!AC29,"-",WORLDCUP!AD29)</f>
        <v>2|0-2</v>
      </c>
      <c r="D13" s="644"/>
      <c r="E13" s="139"/>
      <c r="F13" s="139"/>
      <c r="G13" s="139"/>
      <c r="H13" s="139"/>
      <c r="I13" s="150"/>
      <c r="J13" s="139"/>
      <c r="K13" s="139"/>
      <c r="L13" s="139"/>
      <c r="M13" s="148"/>
      <c r="N13" s="146"/>
    </row>
    <row r="14" spans="1:14" ht="15" customHeight="1">
      <c r="A14" s="125" t="s">
        <v>239</v>
      </c>
      <c r="B14" s="126" t="str">
        <f>CONCATENATE(WORLDCUP!AA36,"-",WORLDCUP!AF36)</f>
        <v>Germany-Curaçao</v>
      </c>
      <c r="C14" s="120" t="str">
        <f>CONCATENATE(IF(WORLDCUP!AC36&gt;WORLDCUP!AD36,1,IF(WORLDCUP!AC36&lt;WORLDCUP!AD36,2,IF(AND(WORLDCUP!AC36=WORLDCUP!AD36,WORLDCUP!AC36&lt;&gt;"",WORLDCUP!AD36&lt;&gt;""),"X",0))),"|",WORLDCUP!AC36,"-",WORLDCUP!AD36)</f>
        <v>1|2-0</v>
      </c>
      <c r="D14" s="644"/>
      <c r="E14" s="139"/>
      <c r="F14" s="139"/>
      <c r="G14" s="139"/>
      <c r="H14" s="139"/>
      <c r="I14" s="150"/>
      <c r="J14" s="139"/>
      <c r="K14" s="139"/>
      <c r="L14" s="139"/>
      <c r="M14" s="148"/>
      <c r="N14" s="146"/>
    </row>
    <row r="15" spans="1:14" ht="15" customHeight="1">
      <c r="A15" s="125" t="s">
        <v>239</v>
      </c>
      <c r="B15" s="126" t="str">
        <f>CONCATENATE(WORLDCUP!AA37,"-",WORLDCUP!AF37)</f>
        <v>Ivory Coast-Ecuador</v>
      </c>
      <c r="C15" s="120" t="str">
        <f>CONCATENATE(IF(WORLDCUP!AC37&gt;WORLDCUP!AD37,1,IF(WORLDCUP!AC37&lt;WORLDCUP!AD37,2,IF(AND(WORLDCUP!AC37=WORLDCUP!AD37,WORLDCUP!AC37&lt;&gt;"",WORLDCUP!AD37&lt;&gt;""),"X",0))),"|",WORLDCUP!AC37,"-",WORLDCUP!AD37)</f>
        <v>2|0-1</v>
      </c>
      <c r="D15" s="644"/>
      <c r="E15" s="139"/>
      <c r="F15" s="139"/>
      <c r="G15" s="139"/>
      <c r="H15" s="139"/>
      <c r="I15" s="150"/>
      <c r="J15" s="139"/>
      <c r="K15" s="139"/>
      <c r="L15" s="139"/>
      <c r="M15" s="148"/>
      <c r="N15" s="146"/>
    </row>
    <row r="16" spans="1:14" ht="15" customHeight="1">
      <c r="A16" s="12" t="s">
        <v>240</v>
      </c>
      <c r="B16" s="127" t="str">
        <f>CONCATENATE(WORLDCUP!AA44,"-",WORLDCUP!AF44)</f>
        <v>Netherlands-Japan</v>
      </c>
      <c r="C16" s="120" t="str">
        <f>CONCATENATE(IF(WORLDCUP!AC44&gt;WORLDCUP!AD44,1,IF(WORLDCUP!AC44&lt;WORLDCUP!AD44,2,IF(AND(WORLDCUP!AC44=WORLDCUP!AD44,WORLDCUP!AC44&lt;&gt;"",WORLDCUP!AD44&lt;&gt;""),"X",0))),"|",WORLDCUP!AC44,"-",WORLDCUP!AD44)</f>
        <v>1|2-1</v>
      </c>
      <c r="D16" s="644"/>
      <c r="E16" s="139"/>
      <c r="F16" s="139"/>
      <c r="G16" s="139"/>
      <c r="H16" s="139"/>
      <c r="I16" s="150"/>
      <c r="J16" s="139"/>
      <c r="K16" s="139"/>
      <c r="L16" s="139"/>
      <c r="M16" s="148"/>
      <c r="N16" s="146"/>
    </row>
    <row r="17" spans="1:14" ht="15" customHeight="1">
      <c r="A17" s="12" t="s">
        <v>240</v>
      </c>
      <c r="B17" s="127" t="str">
        <f>CONCATENATE(WORLDCUP!AA45,"-",WORLDCUP!AF45)</f>
        <v>Sweden-Tunisia</v>
      </c>
      <c r="C17" s="120" t="str">
        <f>CONCATENATE(IF(WORLDCUP!AC45&gt;WORLDCUP!AD45,1,IF(WORLDCUP!AC45&lt;WORLDCUP!AD45,2,IF(AND(WORLDCUP!AC45=WORLDCUP!AD45,WORLDCUP!AC45&lt;&gt;"",WORLDCUP!AD45&lt;&gt;""),"X",0))),"|",WORLDCUP!AC45,"-",WORLDCUP!AD45)</f>
        <v>1|2-0</v>
      </c>
      <c r="D17" s="644"/>
      <c r="E17" s="139"/>
      <c r="F17" s="139"/>
      <c r="G17" s="139"/>
      <c r="H17" s="139"/>
      <c r="I17" s="150"/>
      <c r="J17" s="139"/>
      <c r="K17" s="139"/>
      <c r="L17" s="139"/>
      <c r="M17" s="148"/>
      <c r="N17" s="146"/>
    </row>
    <row r="18" spans="1:14" ht="15" customHeight="1">
      <c r="A18" s="125" t="s">
        <v>241</v>
      </c>
      <c r="B18" s="126" t="str">
        <f>CONCATENATE(WORLDCUP!AA52,"-",WORLDCUP!AF52)</f>
        <v>Belgium-Egypt</v>
      </c>
      <c r="C18" s="120" t="str">
        <f>CONCATENATE(IF(WORLDCUP!AC52&gt;WORLDCUP!AD52,1,IF(WORLDCUP!AC52&lt;WORLDCUP!AD52,2,IF(AND(WORLDCUP!AC52=WORLDCUP!AD52,WORLDCUP!AC52&lt;&gt;"",WORLDCUP!AD52&lt;&gt;""),"X",0))),"|",WORLDCUP!AC52,"-",WORLDCUP!AD52)</f>
        <v>1|2-0</v>
      </c>
      <c r="D18" s="644"/>
      <c r="E18" s="139"/>
      <c r="F18" s="139"/>
      <c r="G18" s="139"/>
      <c r="H18" s="139"/>
      <c r="I18" s="150"/>
      <c r="J18" s="139"/>
      <c r="K18" s="139"/>
      <c r="L18" s="139"/>
      <c r="M18" s="148"/>
      <c r="N18" s="146"/>
    </row>
    <row r="19" spans="1:14" ht="15" customHeight="1">
      <c r="A19" s="125" t="s">
        <v>241</v>
      </c>
      <c r="B19" s="126" t="str">
        <f>CONCATENATE(WORLDCUP!AA53,"-",WORLDCUP!AF53)</f>
        <v>Iran-New Zealand</v>
      </c>
      <c r="C19" s="120" t="str">
        <f>CONCATENATE(IF(WORLDCUP!AC53&gt;WORLDCUP!AD53,1,IF(WORLDCUP!AC53&lt;WORLDCUP!AD53,2,IF(AND(WORLDCUP!AC53=WORLDCUP!AD53,WORLDCUP!AC53&lt;&gt;"",WORLDCUP!AD53&lt;&gt;""),"X",0))),"|",WORLDCUP!AC53,"-",WORLDCUP!AD53)</f>
        <v>1|1-0</v>
      </c>
      <c r="D19" s="644"/>
      <c r="E19" s="139"/>
      <c r="F19" s="139"/>
      <c r="G19" s="139"/>
      <c r="H19" s="139"/>
      <c r="I19" s="150"/>
      <c r="J19" s="139"/>
      <c r="K19" s="139"/>
      <c r="L19" s="139"/>
      <c r="M19" s="148"/>
      <c r="N19" s="146"/>
    </row>
    <row r="20" spans="1:14" ht="15" customHeight="1">
      <c r="A20" s="12" t="s">
        <v>242</v>
      </c>
      <c r="B20" s="127" t="str">
        <f>CONCATENATE(WORLDCUP!AA60,"-",WORLDCUP!AF60)</f>
        <v>Spain-Cape Verde</v>
      </c>
      <c r="C20" s="120" t="str">
        <f>CONCATENATE(IF(WORLDCUP!AC60&gt;WORLDCUP!AD60,1,IF(WORLDCUP!AC60&lt;WORLDCUP!AD60,2,IF(AND(WORLDCUP!AC60=WORLDCUP!AD60,WORLDCUP!AC60&lt;&gt;"",WORLDCUP!AD60&lt;&gt;""),"X",0))),"|",WORLDCUP!AC60,"-",WORLDCUP!AD60)</f>
        <v>1|3-0</v>
      </c>
      <c r="D20" s="644"/>
      <c r="E20" s="139"/>
      <c r="F20" s="139"/>
      <c r="G20" s="139"/>
      <c r="H20" s="139"/>
      <c r="I20" s="150"/>
      <c r="J20" s="139"/>
      <c r="K20" s="139"/>
      <c r="L20" s="139"/>
      <c r="M20" s="148"/>
      <c r="N20" s="146"/>
    </row>
    <row r="21" spans="1:14" ht="15" customHeight="1">
      <c r="A21" s="12" t="s">
        <v>242</v>
      </c>
      <c r="B21" s="127" t="str">
        <f>CONCATENATE(WORLDCUP!AA61,"-",WORLDCUP!AF61)</f>
        <v>Saudi Arabia-Uruguay</v>
      </c>
      <c r="C21" s="120" t="str">
        <f>CONCATENATE(IF(WORLDCUP!AC61&gt;WORLDCUP!AD61,1,IF(WORLDCUP!AC61&lt;WORLDCUP!AD61,2,IF(AND(WORLDCUP!AC61=WORLDCUP!AD61,WORLDCUP!AC61&lt;&gt;"",WORLDCUP!AD61&lt;&gt;""),"X",0))),"|",WORLDCUP!AC61,"-",WORLDCUP!AD61)</f>
        <v>2|1-2</v>
      </c>
      <c r="D21" s="644"/>
      <c r="E21" s="139"/>
      <c r="F21" s="139"/>
      <c r="G21" s="139"/>
      <c r="H21" s="139"/>
      <c r="I21" s="150"/>
      <c r="J21" s="139"/>
      <c r="K21" s="139"/>
      <c r="L21" s="139"/>
      <c r="M21" s="148"/>
      <c r="N21" s="146"/>
    </row>
    <row r="22" spans="1:14" ht="15" customHeight="1">
      <c r="A22" s="125" t="s">
        <v>243</v>
      </c>
      <c r="B22" s="126" t="str">
        <f>CONCATENATE(WORLDCUP!AA68,"-",WORLDCUP!AF68)</f>
        <v>France-Senegal</v>
      </c>
      <c r="C22" s="120" t="str">
        <f>CONCATENATE(IF(WORLDCUP!AC68&gt;WORLDCUP!AD68,1,IF(WORLDCUP!AC68&lt;WORLDCUP!AD68,2,IF(AND(WORLDCUP!AC68=WORLDCUP!AD68,WORLDCUP!AC68&lt;&gt;"",WORLDCUP!AD68&lt;&gt;""),"X",0))),"|",WORLDCUP!AC68,"-",WORLDCUP!AD68)</f>
        <v>1|3-0</v>
      </c>
      <c r="D22" s="644"/>
      <c r="E22" s="139"/>
      <c r="F22" s="139"/>
      <c r="G22" s="139"/>
      <c r="H22" s="139"/>
      <c r="I22" s="150"/>
      <c r="J22" s="139"/>
      <c r="K22" s="139"/>
      <c r="L22" s="139"/>
      <c r="M22" s="148"/>
      <c r="N22" s="146"/>
    </row>
    <row r="23" spans="1:14" ht="15" customHeight="1">
      <c r="A23" s="125" t="s">
        <v>243</v>
      </c>
      <c r="B23" s="126" t="str">
        <f>CONCATENATE(WORLDCUP!AA69,"-",WORLDCUP!AF69)</f>
        <v>Iraq-Norway</v>
      </c>
      <c r="C23" s="120" t="str">
        <f>CONCATENATE(IF(WORLDCUP!AC69&gt;WORLDCUP!AD69,1,IF(WORLDCUP!AC69&lt;WORLDCUP!AD69,2,IF(AND(WORLDCUP!AC69=WORLDCUP!AD69,WORLDCUP!AC69&lt;&gt;"",WORLDCUP!AD69&lt;&gt;""),"X",0))),"|",WORLDCUP!AC69,"-",WORLDCUP!AD69)</f>
        <v>2|0-1</v>
      </c>
      <c r="D23" s="644"/>
      <c r="E23" s="139"/>
      <c r="F23" s="139"/>
      <c r="G23" s="139"/>
      <c r="H23" s="139"/>
      <c r="I23" s="150"/>
      <c r="J23" s="139"/>
      <c r="K23" s="139"/>
      <c r="L23" s="139"/>
      <c r="M23" s="148"/>
      <c r="N23" s="146"/>
    </row>
    <row r="24" spans="1:14" ht="15" customHeight="1">
      <c r="A24" s="12" t="s">
        <v>244</v>
      </c>
      <c r="B24" s="127" t="str">
        <f>CONCATENATE(WORLDCUP!AA76,"-",WORLDCUP!AF76)</f>
        <v>Argentina-Algeria</v>
      </c>
      <c r="C24" s="120" t="str">
        <f>CONCATENATE(IF(WORLDCUP!AC76&gt;WORLDCUP!AD76,1,IF(WORLDCUP!AC76&lt;WORLDCUP!AD76,2,IF(AND(WORLDCUP!AC76=WORLDCUP!AD76,WORLDCUP!AC76&lt;&gt;"",WORLDCUP!AD76&lt;&gt;""),"X",0))),"|",WORLDCUP!AC76,"-",WORLDCUP!AD76)</f>
        <v>1|2-0</v>
      </c>
      <c r="D24" s="644"/>
      <c r="E24" s="139"/>
      <c r="F24" s="139"/>
      <c r="G24" s="139"/>
      <c r="H24" s="139"/>
      <c r="I24" s="150"/>
      <c r="J24" s="139"/>
      <c r="K24" s="139"/>
      <c r="L24" s="139"/>
      <c r="M24" s="148"/>
      <c r="N24" s="146"/>
    </row>
    <row r="25" spans="1:14" ht="15" customHeight="1">
      <c r="A25" s="12" t="s">
        <v>244</v>
      </c>
      <c r="B25" s="127" t="str">
        <f>CONCATENATE(WORLDCUP!AA77,"-",WORLDCUP!AF77)</f>
        <v>Austria-Jordan</v>
      </c>
      <c r="C25" s="120" t="str">
        <f>CONCATENATE(IF(WORLDCUP!AC77&gt;WORLDCUP!AD77,1,IF(WORLDCUP!AC77&lt;WORLDCUP!AD77,2,IF(AND(WORLDCUP!AC77=WORLDCUP!AD77,WORLDCUP!AC77&lt;&gt;"",WORLDCUP!AD77&lt;&gt;""),"X",0))),"|",WORLDCUP!AC77,"-",WORLDCUP!AD77)</f>
        <v>1|1-0</v>
      </c>
      <c r="D25" s="644"/>
      <c r="E25" s="139"/>
      <c r="F25" s="139"/>
      <c r="G25" s="139"/>
      <c r="H25" s="139"/>
      <c r="I25" s="150"/>
      <c r="J25" s="139"/>
      <c r="K25" s="139"/>
      <c r="L25" s="139"/>
      <c r="M25" s="148"/>
      <c r="N25" s="146"/>
    </row>
    <row r="26" spans="1:14" ht="15" customHeight="1">
      <c r="A26" s="125" t="s">
        <v>245</v>
      </c>
      <c r="B26" s="126" t="str">
        <f>CONCATENATE(WORLDCUP!AA84,"-",WORLDCUP!AF84)</f>
        <v>Portugal-DR Congo</v>
      </c>
      <c r="C26" s="120" t="str">
        <f>CONCATENATE(IF(WORLDCUP!AC84&gt;WORLDCUP!AD84,1,IF(WORLDCUP!AC84&lt;WORLDCUP!AD84,2,IF(AND(WORLDCUP!AC84=WORLDCUP!AD84,WORLDCUP!AC84&lt;&gt;"",WORLDCUP!AD84&lt;&gt;""),"X",0))),"|",WORLDCUP!AC84,"-",WORLDCUP!AD84)</f>
        <v>1|3-0</v>
      </c>
      <c r="D26" s="644"/>
      <c r="E26" s="139"/>
      <c r="F26" s="139"/>
      <c r="G26" s="139"/>
      <c r="H26" s="139"/>
      <c r="I26" s="150"/>
      <c r="J26" s="139"/>
      <c r="K26" s="139"/>
      <c r="L26" s="139"/>
      <c r="M26" s="148"/>
      <c r="N26" s="146"/>
    </row>
    <row r="27" spans="1:14" ht="15" customHeight="1">
      <c r="A27" s="125" t="s">
        <v>245</v>
      </c>
      <c r="B27" s="126" t="str">
        <f>CONCATENATE(WORLDCUP!AA85,"-",WORLDCUP!AF85)</f>
        <v>Uzbekistan-Colombia</v>
      </c>
      <c r="C27" s="120" t="str">
        <f>CONCATENATE(IF(WORLDCUP!AC85&gt;WORLDCUP!AD85,1,IF(WORLDCUP!AC85&lt;WORLDCUP!AD85,2,IF(AND(WORLDCUP!AC85=WORLDCUP!AD85,WORLDCUP!AC85&lt;&gt;"",WORLDCUP!AD85&lt;&gt;""),"X",0))),"|",WORLDCUP!AC85,"-",WORLDCUP!AD85)</f>
        <v>2|1-3</v>
      </c>
      <c r="D27" s="644"/>
      <c r="E27" s="139"/>
      <c r="F27" s="139"/>
      <c r="G27" s="139"/>
      <c r="H27" s="139"/>
      <c r="I27" s="150"/>
      <c r="J27" s="139"/>
      <c r="K27" s="139"/>
      <c r="L27" s="139"/>
      <c r="M27" s="148"/>
      <c r="N27" s="146"/>
    </row>
    <row r="28" spans="1:14" ht="15" customHeight="1">
      <c r="A28" s="12" t="s">
        <v>246</v>
      </c>
      <c r="B28" s="127" t="str">
        <f>CONCATENATE(WORLDCUP!AA92,"-",WORLDCUP!AF92)</f>
        <v>England-Croatia</v>
      </c>
      <c r="C28" s="120" t="str">
        <f>CONCATENATE(IF(WORLDCUP!AC92&gt;WORLDCUP!AD92,1,IF(WORLDCUP!AC92&lt;WORLDCUP!AD92,2,IF(AND(WORLDCUP!AC92=WORLDCUP!AD92,WORLDCUP!AC92&lt;&gt;"",WORLDCUP!AD92&lt;&gt;""),"X",0))),"|",WORLDCUP!AC92,"-",WORLDCUP!AD92)</f>
        <v>X|2-2</v>
      </c>
      <c r="D28" s="644"/>
      <c r="E28" s="139"/>
      <c r="F28" s="139"/>
      <c r="G28" s="139"/>
      <c r="H28" s="139"/>
      <c r="I28" s="150"/>
      <c r="J28" s="139"/>
      <c r="K28" s="139"/>
      <c r="L28" s="139"/>
      <c r="M28" s="148"/>
      <c r="N28" s="146"/>
    </row>
    <row r="29" spans="1:14" ht="15" customHeight="1">
      <c r="A29" s="12" t="s">
        <v>246</v>
      </c>
      <c r="B29" s="127" t="str">
        <f>CONCATENATE(WORLDCUP!AA93,"-",WORLDCUP!AF93)</f>
        <v>Ghana-Panama</v>
      </c>
      <c r="C29" s="120" t="str">
        <f>CONCATENATE(IF(WORLDCUP!AC93&gt;WORLDCUP!AD93,1,IF(WORLDCUP!AC93&lt;WORLDCUP!AD93,2,IF(AND(WORLDCUP!AC93=WORLDCUP!AD93,WORLDCUP!AC93&lt;&gt;"",WORLDCUP!AD93&lt;&gt;""),"X",0))),"|",WORLDCUP!AC93,"-",WORLDCUP!AD93)</f>
        <v>1|2-0</v>
      </c>
      <c r="D29" s="647"/>
      <c r="E29" s="141"/>
      <c r="F29" s="141"/>
      <c r="G29" s="141"/>
      <c r="H29" s="141"/>
      <c r="I29" s="150"/>
      <c r="J29" s="139"/>
      <c r="K29" s="139"/>
      <c r="L29" s="139"/>
      <c r="M29" s="148"/>
      <c r="N29" s="146"/>
    </row>
    <row r="30" spans="1:14" ht="15" customHeight="1">
      <c r="A30" s="125" t="s">
        <v>247</v>
      </c>
      <c r="B30" s="126" t="str">
        <f>CONCATENATE(WORLDCUP!AA6,"-",WORLDCUP!AF6)</f>
        <v>Czech Republic-South Africa</v>
      </c>
      <c r="C30" s="120" t="str">
        <f>CONCATENATE(IF(WORLDCUP!AC6&gt;WORLDCUP!AD6,1,IF(WORLDCUP!AC6&lt;WORLDCUP!AD6,2,IF(AND(WORLDCUP!AC6=WORLDCUP!AD6,WORLDCUP!AC6&lt;&gt;"",WORLDCUP!AD6&lt;&gt;""),"X",0))),"|",WORLDCUP!AC6,"-",WORLDCUP!AD6)</f>
        <v>1|2-0</v>
      </c>
      <c r="D30" s="666" t="str">
        <f>Idiomas!D123</f>
        <v>R2</v>
      </c>
      <c r="E30" s="656" t="str">
        <f>Idiomas!D111</f>
        <v>·For the 2nd Round copy from C30 to C53 an paste as values in the Administrator Pool.</v>
      </c>
      <c r="F30" s="643"/>
      <c r="G30" s="643"/>
      <c r="H30" s="643"/>
      <c r="I30" s="149"/>
      <c r="J30" s="139"/>
      <c r="K30" s="139"/>
      <c r="L30" s="139"/>
      <c r="M30" s="148"/>
      <c r="N30" s="146"/>
    </row>
    <row r="31" spans="1:14" ht="15" customHeight="1">
      <c r="A31" s="125" t="s">
        <v>247</v>
      </c>
      <c r="B31" s="126" t="str">
        <f>CONCATENATE(WORLDCUP!AA7,"-",WORLDCUP!AF7)</f>
        <v>Mexico-South Korea</v>
      </c>
      <c r="C31" s="120" t="str">
        <f>CONCATENATE(IF(WORLDCUP!AC7&gt;WORLDCUP!AD7,1,IF(WORLDCUP!AC7&lt;WORLDCUP!AD7,2,IF(AND(WORLDCUP!AC7=WORLDCUP!AD7,WORLDCUP!AC7&lt;&gt;"",WORLDCUP!AD7&lt;&gt;""),"X",0))),"|",WORLDCUP!AC7,"-",WORLDCUP!AD7)</f>
        <v>2|0-1</v>
      </c>
      <c r="D31" s="644"/>
      <c r="E31" s="644"/>
      <c r="F31" s="644"/>
      <c r="G31" s="644"/>
      <c r="H31" s="644"/>
      <c r="I31" s="150"/>
      <c r="J31" s="139"/>
      <c r="K31" s="139"/>
      <c r="L31" s="139"/>
      <c r="M31" s="148"/>
      <c r="N31" s="146"/>
    </row>
    <row r="32" spans="1:14" ht="15" customHeight="1">
      <c r="A32" s="12" t="s">
        <v>248</v>
      </c>
      <c r="B32" s="127" t="str">
        <f>CONCATENATE(WORLDCUP!AA14,"-",WORLDCUP!AF14)</f>
        <v>Switzerland-Bosnia and Herzegovina</v>
      </c>
      <c r="C32" s="120" t="str">
        <f>CONCATENATE(IF(WORLDCUP!AC14&gt;WORLDCUP!AD14,1,IF(WORLDCUP!AC14&lt;WORLDCUP!AD14,2,IF(AND(WORLDCUP!AC14=WORLDCUP!AD14,WORLDCUP!AC14&lt;&gt;"",WORLDCUP!AD14&lt;&gt;""),"X",0))),"|",WORLDCUP!AC14,"-",WORLDCUP!AD14)</f>
        <v>1|2-0</v>
      </c>
      <c r="D32" s="644"/>
      <c r="E32" s="644"/>
      <c r="F32" s="644"/>
      <c r="G32" s="644"/>
      <c r="H32" s="644"/>
      <c r="I32" s="150"/>
      <c r="J32" s="139"/>
      <c r="K32" s="139"/>
      <c r="L32" s="139"/>
      <c r="M32" s="148"/>
      <c r="N32" s="146"/>
    </row>
    <row r="33" spans="1:14" ht="15" customHeight="1">
      <c r="A33" s="12" t="s">
        <v>248</v>
      </c>
      <c r="B33" s="127" t="str">
        <f>CONCATENATE(WORLDCUP!AA15,"-",WORLDCUP!AF15)</f>
        <v>Canada-Qatar</v>
      </c>
      <c r="C33" s="120" t="str">
        <f>CONCATENATE(IF(WORLDCUP!AC15&gt;WORLDCUP!AD15,1,IF(WORLDCUP!AC15&lt;WORLDCUP!AD15,2,IF(AND(WORLDCUP!AC15=WORLDCUP!AD15,WORLDCUP!AC15&lt;&gt;"",WORLDCUP!AD15&lt;&gt;""),"X",0))),"|",WORLDCUP!AC15,"-",WORLDCUP!AD15)</f>
        <v>1|1-0</v>
      </c>
      <c r="D33" s="644"/>
      <c r="E33" s="644"/>
      <c r="F33" s="644"/>
      <c r="G33" s="644"/>
      <c r="H33" s="644"/>
      <c r="I33" s="150"/>
      <c r="J33" s="139"/>
      <c r="K33" s="139"/>
      <c r="L33" s="139"/>
      <c r="M33" s="148"/>
      <c r="N33" s="146"/>
    </row>
    <row r="34" spans="1:14" ht="15" customHeight="1">
      <c r="A34" s="125" t="s">
        <v>249</v>
      </c>
      <c r="B34" s="126" t="str">
        <f>CONCATENATE(WORLDCUP!AA22,"-",WORLDCUP!AF22)</f>
        <v>Scotland-Morocco</v>
      </c>
      <c r="C34" s="120" t="str">
        <f>CONCATENATE(IF(WORLDCUP!AC22&gt;WORLDCUP!AD22,1,IF(WORLDCUP!AC22&lt;WORLDCUP!AD22,2,IF(AND(WORLDCUP!AC22=WORLDCUP!AD22,WORLDCUP!AC22&lt;&gt;"",WORLDCUP!AD22&lt;&gt;""),"X",0))),"|",WORLDCUP!AC22,"-",WORLDCUP!AD22)</f>
        <v>2|0-2</v>
      </c>
      <c r="D34" s="644"/>
      <c r="E34" s="139"/>
      <c r="F34" s="139"/>
      <c r="G34" s="139"/>
      <c r="H34" s="139"/>
      <c r="I34" s="150"/>
      <c r="J34" s="139"/>
      <c r="K34" s="139"/>
      <c r="L34" s="139"/>
      <c r="M34" s="148"/>
      <c r="N34" s="146"/>
    </row>
    <row r="35" spans="1:14" ht="15" customHeight="1">
      <c r="A35" s="125" t="s">
        <v>249</v>
      </c>
      <c r="B35" s="126" t="str">
        <f>CONCATENATE(WORLDCUP!AA23,"-",WORLDCUP!AF23)</f>
        <v>Brazil-Haiti</v>
      </c>
      <c r="C35" s="120" t="str">
        <f>CONCATENATE(IF(WORLDCUP!AC23&gt;WORLDCUP!AD23,1,IF(WORLDCUP!AC23&lt;WORLDCUP!AD23,2,IF(AND(WORLDCUP!AC23=WORLDCUP!AD23,WORLDCUP!AC23&lt;&gt;"",WORLDCUP!AD23&lt;&gt;""),"X",0))),"|",WORLDCUP!AC23,"-",WORLDCUP!AD23)</f>
        <v>1|3-0</v>
      </c>
      <c r="D35" s="644"/>
      <c r="E35" s="139"/>
      <c r="F35" s="139"/>
      <c r="G35" s="139"/>
      <c r="H35" s="139"/>
      <c r="I35" s="150"/>
      <c r="J35" s="139"/>
      <c r="K35" s="139"/>
      <c r="L35" s="139"/>
      <c r="M35" s="148"/>
      <c r="N35" s="146"/>
    </row>
    <row r="36" spans="1:14" ht="15" customHeight="1">
      <c r="A36" s="12" t="s">
        <v>250</v>
      </c>
      <c r="B36" s="127" t="str">
        <f>CONCATENATE(WORLDCUP!AA30,"-",WORLDCUP!AF30)</f>
        <v>United States-Australia</v>
      </c>
      <c r="C36" s="120" t="str">
        <f>CONCATENATE(IF(WORLDCUP!AC30&gt;WORLDCUP!AD30,1,IF(WORLDCUP!AC30&lt;WORLDCUP!AD30,2,IF(AND(WORLDCUP!AC30=WORLDCUP!AD30,WORLDCUP!AC30&lt;&gt;"",WORLDCUP!AD30&lt;&gt;""),"X",0))),"|",WORLDCUP!AC30,"-",WORLDCUP!AD30)</f>
        <v>1|1-0</v>
      </c>
      <c r="D36" s="644"/>
      <c r="E36" s="139"/>
      <c r="F36" s="139"/>
      <c r="G36" s="139"/>
      <c r="H36" s="139"/>
      <c r="I36" s="150"/>
      <c r="J36" s="139"/>
      <c r="K36" s="139"/>
      <c r="L36" s="139"/>
      <c r="M36" s="148"/>
      <c r="N36" s="146"/>
    </row>
    <row r="37" spans="1:14" ht="15" customHeight="1">
      <c r="A37" s="12" t="s">
        <v>250</v>
      </c>
      <c r="B37" s="127" t="str">
        <f>CONCATENATE(WORLDCUP!AA31,"-",WORLDCUP!AF31)</f>
        <v>Turkey-Paraguay</v>
      </c>
      <c r="C37" s="120" t="str">
        <f>CONCATENATE(IF(WORLDCUP!AC31&gt;WORLDCUP!AD31,1,IF(WORLDCUP!AC31&lt;WORLDCUP!AD31,2,IF(AND(WORLDCUP!AC31=WORLDCUP!AD31,WORLDCUP!AC31&lt;&gt;"",WORLDCUP!AD31&lt;&gt;""),"X",0))),"|",WORLDCUP!AC31,"-",WORLDCUP!AD31)</f>
        <v>X|1-1</v>
      </c>
      <c r="D37" s="644"/>
      <c r="E37" s="139"/>
      <c r="F37" s="139"/>
      <c r="G37" s="139"/>
      <c r="H37" s="139"/>
      <c r="I37" s="150"/>
      <c r="J37" s="139"/>
      <c r="K37" s="139"/>
      <c r="L37" s="139"/>
      <c r="M37" s="148"/>
      <c r="N37" s="146"/>
    </row>
    <row r="38" spans="1:14" ht="15" customHeight="1">
      <c r="A38" s="125" t="s">
        <v>251</v>
      </c>
      <c r="B38" s="126" t="str">
        <f>CONCATENATE(WORLDCUP!AA38,"-",WORLDCUP!AF38)</f>
        <v>Germany-Ivory Coast</v>
      </c>
      <c r="C38" s="120" t="str">
        <f>CONCATENATE(IF(WORLDCUP!AC38&gt;WORLDCUP!AD38,1,IF(WORLDCUP!AC38&lt;WORLDCUP!AD38,2,IF(AND(WORLDCUP!AC38=WORLDCUP!AD38,WORLDCUP!AC38&lt;&gt;"",WORLDCUP!AD38&lt;&gt;""),"X",0))),"|",WORLDCUP!AC38,"-",WORLDCUP!AD38)</f>
        <v>1|2-0</v>
      </c>
      <c r="D38" s="644"/>
      <c r="E38" s="139"/>
      <c r="F38" s="139"/>
      <c r="G38" s="139"/>
      <c r="H38" s="139"/>
      <c r="I38" s="150"/>
      <c r="J38" s="139"/>
      <c r="K38" s="139"/>
      <c r="L38" s="139"/>
      <c r="M38" s="148"/>
      <c r="N38" s="146"/>
    </row>
    <row r="39" spans="1:14" ht="15" customHeight="1">
      <c r="A39" s="125" t="s">
        <v>251</v>
      </c>
      <c r="B39" s="126" t="str">
        <f>CONCATENATE(WORLDCUP!AA39,"-",WORLDCUP!AF39)</f>
        <v>Ecuador-Curaçao</v>
      </c>
      <c r="C39" s="120" t="str">
        <f>CONCATENATE(IF(WORLDCUP!AC39&gt;WORLDCUP!AD39,1,IF(WORLDCUP!AC39&lt;WORLDCUP!AD39,2,IF(AND(WORLDCUP!AC39=WORLDCUP!AD39,WORLDCUP!AC39&lt;&gt;"",WORLDCUP!AD39&lt;&gt;""),"X",0))),"|",WORLDCUP!AC39,"-",WORLDCUP!AD39)</f>
        <v>1|1-0</v>
      </c>
      <c r="D39" s="644"/>
      <c r="E39" s="139"/>
      <c r="F39" s="139"/>
      <c r="G39" s="139"/>
      <c r="H39" s="139"/>
      <c r="I39" s="150"/>
      <c r="J39" s="139"/>
      <c r="K39" s="139"/>
      <c r="L39" s="139"/>
      <c r="M39" s="148"/>
      <c r="N39" s="146"/>
    </row>
    <row r="40" spans="1:14" ht="15" customHeight="1">
      <c r="A40" s="12" t="s">
        <v>252</v>
      </c>
      <c r="B40" s="127" t="str">
        <f>CONCATENATE(WORLDCUP!AA46,"-",WORLDCUP!AF46)</f>
        <v>Netherlands-Sweden</v>
      </c>
      <c r="C40" s="120" t="str">
        <f>CONCATENATE(IF(WORLDCUP!AC46&gt;WORLDCUP!AD46,1,IF(WORLDCUP!AC46&lt;WORLDCUP!AD46,2,IF(AND(WORLDCUP!AC46=WORLDCUP!AD46,WORLDCUP!AC46&lt;&gt;"",WORLDCUP!AD46&lt;&gt;""),"X",0))),"|",WORLDCUP!AC46,"-",WORLDCUP!AD46)</f>
        <v>1|2-1</v>
      </c>
      <c r="D40" s="644"/>
      <c r="E40" s="139"/>
      <c r="F40" s="139"/>
      <c r="G40" s="139"/>
      <c r="H40" s="139"/>
      <c r="I40" s="150"/>
      <c r="J40" s="139"/>
      <c r="K40" s="139"/>
      <c r="L40" s="139"/>
      <c r="M40" s="148"/>
      <c r="N40" s="146"/>
    </row>
    <row r="41" spans="1:14" ht="15" customHeight="1">
      <c r="A41" s="12" t="s">
        <v>252</v>
      </c>
      <c r="B41" s="127" t="str">
        <f>CONCATENATE(WORLDCUP!AA47,"-",WORLDCUP!AF47)</f>
        <v>Tunisia-Japan</v>
      </c>
      <c r="C41" s="120" t="str">
        <f>CONCATENATE(IF(WORLDCUP!AC47&gt;WORLDCUP!AD47,1,IF(WORLDCUP!AC47&lt;WORLDCUP!AD47,2,IF(AND(WORLDCUP!AC47=WORLDCUP!AD47,WORLDCUP!AC47&lt;&gt;"",WORLDCUP!AD47&lt;&gt;""),"X",0))),"|",WORLDCUP!AC47,"-",WORLDCUP!AD47)</f>
        <v>2|0-2</v>
      </c>
      <c r="D41" s="644"/>
      <c r="E41" s="139"/>
      <c r="F41" s="139"/>
      <c r="G41" s="139"/>
      <c r="H41" s="139"/>
      <c r="I41" s="150"/>
      <c r="J41" s="139"/>
      <c r="K41" s="139"/>
      <c r="L41" s="139"/>
      <c r="M41" s="148"/>
      <c r="N41" s="146"/>
    </row>
    <row r="42" spans="1:14" ht="15" customHeight="1">
      <c r="A42" s="125" t="s">
        <v>253</v>
      </c>
      <c r="B42" s="126" t="str">
        <f>CONCATENATE(WORLDCUP!AA54,"-",WORLDCUP!AF54)</f>
        <v>Belgium-Iran</v>
      </c>
      <c r="C42" s="120" t="str">
        <f>CONCATENATE(IF(WORLDCUP!AC54&gt;WORLDCUP!AD54,1,IF(WORLDCUP!AC54&lt;WORLDCUP!AD54,2,IF(AND(WORLDCUP!AC54=WORLDCUP!AD54,WORLDCUP!AC54&lt;&gt;"",WORLDCUP!AD54&lt;&gt;""),"X",0))),"|",WORLDCUP!AC54,"-",WORLDCUP!AD54)</f>
        <v>1|2-1</v>
      </c>
      <c r="D42" s="644"/>
      <c r="E42" s="139"/>
      <c r="F42" s="139"/>
      <c r="G42" s="139"/>
      <c r="H42" s="139"/>
      <c r="I42" s="150"/>
      <c r="J42" s="139"/>
      <c r="K42" s="139"/>
      <c r="L42" s="139"/>
      <c r="M42" s="148"/>
      <c r="N42" s="146"/>
    </row>
    <row r="43" spans="1:14" ht="15" customHeight="1">
      <c r="A43" s="125" t="s">
        <v>253</v>
      </c>
      <c r="B43" s="126" t="str">
        <f>CONCATENATE(WORLDCUP!AA55,"-",WORLDCUP!AF55)</f>
        <v>New Zealand-Egypt</v>
      </c>
      <c r="C43" s="120" t="str">
        <f>CONCATENATE(IF(WORLDCUP!AC55&gt;WORLDCUP!AD55,1,IF(WORLDCUP!AC55&lt;WORLDCUP!AD55,2,IF(AND(WORLDCUP!AC55=WORLDCUP!AD55,WORLDCUP!AC55&lt;&gt;"",WORLDCUP!AD55&lt;&gt;""),"X",0))),"|",WORLDCUP!AC55,"-",WORLDCUP!AD55)</f>
        <v>X|1-1</v>
      </c>
      <c r="D43" s="644"/>
      <c r="E43" s="139"/>
      <c r="F43" s="139"/>
      <c r="G43" s="139"/>
      <c r="H43" s="139"/>
      <c r="I43" s="150"/>
      <c r="J43" s="139"/>
      <c r="K43" s="139"/>
      <c r="L43" s="139"/>
      <c r="M43" s="148"/>
      <c r="N43" s="146"/>
    </row>
    <row r="44" spans="1:14" ht="15" customHeight="1">
      <c r="A44" s="12" t="s">
        <v>254</v>
      </c>
      <c r="B44" s="127" t="str">
        <f>CONCATENATE(WORLDCUP!AA62,"-",WORLDCUP!AF62)</f>
        <v>Spain-Saudi Arabia</v>
      </c>
      <c r="C44" s="120" t="str">
        <f>CONCATENATE(IF(WORLDCUP!AC62&gt;WORLDCUP!AD62,1,IF(WORLDCUP!AC62&lt;WORLDCUP!AD62,2,IF(AND(WORLDCUP!AC62=WORLDCUP!AD62,WORLDCUP!AC62&lt;&gt;"",WORLDCUP!AD62&lt;&gt;""),"X",0))),"|",WORLDCUP!AC62,"-",WORLDCUP!AD62)</f>
        <v>1|3-0</v>
      </c>
      <c r="D44" s="644"/>
      <c r="E44" s="139"/>
      <c r="F44" s="139"/>
      <c r="G44" s="139"/>
      <c r="H44" s="139"/>
      <c r="I44" s="150"/>
      <c r="J44" s="139"/>
      <c r="K44" s="139"/>
      <c r="L44" s="139"/>
      <c r="M44" s="148"/>
      <c r="N44" s="146"/>
    </row>
    <row r="45" spans="1:14" ht="15" customHeight="1">
      <c r="A45" s="12" t="s">
        <v>254</v>
      </c>
      <c r="B45" s="127" t="str">
        <f>CONCATENATE(WORLDCUP!AA63,"-",WORLDCUP!AF63)</f>
        <v>Uruguay-Cape Verde</v>
      </c>
      <c r="C45" s="120" t="str">
        <f>CONCATENATE(IF(WORLDCUP!AC63&gt;WORLDCUP!AD63,1,IF(WORLDCUP!AC63&lt;WORLDCUP!AD63,2,IF(AND(WORLDCUP!AC63=WORLDCUP!AD63,WORLDCUP!AC63&lt;&gt;"",WORLDCUP!AD63&lt;&gt;""),"X",0))),"|",WORLDCUP!AC63,"-",WORLDCUP!AD63)</f>
        <v>1|2-0</v>
      </c>
      <c r="D45" s="644"/>
      <c r="E45" s="139"/>
      <c r="F45" s="139"/>
      <c r="G45" s="139"/>
      <c r="H45" s="139"/>
      <c r="I45" s="150"/>
      <c r="J45" s="139"/>
      <c r="K45" s="139"/>
      <c r="L45" s="139"/>
      <c r="M45" s="148"/>
      <c r="N45" s="146"/>
    </row>
    <row r="46" spans="1:14" ht="15" customHeight="1">
      <c r="A46" s="125" t="s">
        <v>255</v>
      </c>
      <c r="B46" s="126" t="str">
        <f>CONCATENATE(WORLDCUP!AA70,"-",WORLDCUP!AF70)</f>
        <v>France-Iraq</v>
      </c>
      <c r="C46" s="120" t="str">
        <f>CONCATENATE(IF(WORLDCUP!AC70&gt;WORLDCUP!AD70,1,IF(WORLDCUP!AC70&lt;WORLDCUP!AD70,2,IF(AND(WORLDCUP!AC70=WORLDCUP!AD70,WORLDCUP!AC70&lt;&gt;"",WORLDCUP!AD70&lt;&gt;""),"X",0))),"|",WORLDCUP!AC70,"-",WORLDCUP!AD70)</f>
        <v>1|4-0</v>
      </c>
      <c r="D46" s="644"/>
      <c r="E46" s="139"/>
      <c r="F46" s="139"/>
      <c r="G46" s="139"/>
      <c r="H46" s="139"/>
      <c r="I46" s="150"/>
      <c r="J46" s="139"/>
      <c r="K46" s="139"/>
      <c r="L46" s="139"/>
      <c r="M46" s="148"/>
      <c r="N46" s="146"/>
    </row>
    <row r="47" spans="1:14" ht="15" customHeight="1">
      <c r="A47" s="125" t="s">
        <v>255</v>
      </c>
      <c r="B47" s="126" t="str">
        <f>CONCATENATE(WORLDCUP!AA71,"-",WORLDCUP!AF71)</f>
        <v>Norway-Senegal</v>
      </c>
      <c r="C47" s="120" t="str">
        <f>CONCATENATE(IF(WORLDCUP!AC71&gt;WORLDCUP!AD71,1,IF(WORLDCUP!AC71&lt;WORLDCUP!AD71,2,IF(AND(WORLDCUP!AC71=WORLDCUP!AD71,WORLDCUP!AC71&lt;&gt;"",WORLDCUP!AD71&lt;&gt;""),"X",0))),"|",WORLDCUP!AC71,"-",WORLDCUP!AD71)</f>
        <v>1|2-0</v>
      </c>
      <c r="D47" s="644"/>
      <c r="E47" s="139"/>
      <c r="F47" s="139"/>
      <c r="G47" s="139"/>
      <c r="H47" s="139"/>
      <c r="I47" s="150"/>
      <c r="J47" s="139"/>
      <c r="K47" s="139"/>
      <c r="L47" s="139"/>
      <c r="M47" s="148"/>
      <c r="N47" s="146"/>
    </row>
    <row r="48" spans="1:14" ht="15" customHeight="1">
      <c r="A48" s="12" t="s">
        <v>256</v>
      </c>
      <c r="B48" s="127" t="str">
        <f>CONCATENATE(WORLDCUP!AA78,"-",WORLDCUP!AF78)</f>
        <v>Argentina-Austria</v>
      </c>
      <c r="C48" s="120" t="str">
        <f>CONCATENATE(IF(WORLDCUP!AC78&gt;WORLDCUP!AD78,1,IF(WORLDCUP!AC78&lt;WORLDCUP!AD78,2,IF(AND(WORLDCUP!AC78=WORLDCUP!AD78,WORLDCUP!AC78&lt;&gt;"",WORLDCUP!AD78&lt;&gt;""),"X",0))),"|",WORLDCUP!AC78,"-",WORLDCUP!AD78)</f>
        <v>1|2-1</v>
      </c>
      <c r="D48" s="644"/>
      <c r="E48" s="139"/>
      <c r="F48" s="139"/>
      <c r="G48" s="139"/>
      <c r="H48" s="139"/>
      <c r="I48" s="150"/>
      <c r="J48" s="139"/>
      <c r="K48" s="139"/>
      <c r="L48" s="139"/>
      <c r="M48" s="148"/>
      <c r="N48" s="146"/>
    </row>
    <row r="49" spans="1:14" ht="15" customHeight="1">
      <c r="A49" s="12" t="s">
        <v>256</v>
      </c>
      <c r="B49" s="127" t="str">
        <f>CONCATENATE(WORLDCUP!AA79,"-",WORLDCUP!AF79)</f>
        <v>Jordan-Algeria</v>
      </c>
      <c r="C49" s="120" t="str">
        <f>CONCATENATE(IF(WORLDCUP!AC79&gt;WORLDCUP!AD79,1,IF(WORLDCUP!AC79&lt;WORLDCUP!AD79,2,IF(AND(WORLDCUP!AC79=WORLDCUP!AD79,WORLDCUP!AC79&lt;&gt;"",WORLDCUP!AD79&lt;&gt;""),"X",0))),"|",WORLDCUP!AC79,"-",WORLDCUP!AD79)</f>
        <v>X|0-0</v>
      </c>
      <c r="D49" s="644"/>
      <c r="E49" s="139"/>
      <c r="F49" s="139"/>
      <c r="G49" s="139"/>
      <c r="H49" s="139"/>
      <c r="I49" s="150"/>
      <c r="J49" s="139"/>
      <c r="K49" s="139"/>
      <c r="L49" s="139"/>
      <c r="M49" s="148"/>
      <c r="N49" s="146"/>
    </row>
    <row r="50" spans="1:14" ht="15" customHeight="1">
      <c r="A50" s="125" t="s">
        <v>257</v>
      </c>
      <c r="B50" s="126" t="str">
        <f>CONCATENATE(WORLDCUP!AA86,"-",WORLDCUP!AF86)</f>
        <v>Portugal-Uzbekistan</v>
      </c>
      <c r="C50" s="120" t="str">
        <f>CONCATENATE(IF(WORLDCUP!AC86&gt;WORLDCUP!AD86,1,IF(WORLDCUP!AC86&lt;WORLDCUP!AD86,2,IF(AND(WORLDCUP!AC86=WORLDCUP!AD86,WORLDCUP!AC86&lt;&gt;"",WORLDCUP!AD86&lt;&gt;""),"X",0))),"|",WORLDCUP!AC86,"-",WORLDCUP!AD86)</f>
        <v>1|4-0</v>
      </c>
      <c r="D50" s="644"/>
      <c r="E50" s="139"/>
      <c r="F50" s="139"/>
      <c r="G50" s="139"/>
      <c r="H50" s="139"/>
      <c r="I50" s="150"/>
      <c r="J50" s="139"/>
      <c r="K50" s="139"/>
      <c r="L50" s="139"/>
      <c r="M50" s="148"/>
      <c r="N50" s="146"/>
    </row>
    <row r="51" spans="1:14" ht="15" customHeight="1">
      <c r="A51" s="125" t="s">
        <v>257</v>
      </c>
      <c r="B51" s="126" t="str">
        <f>CONCATENATE(WORLDCUP!AA87,"-",WORLDCUP!AF87)</f>
        <v>Colombia-DR Congo</v>
      </c>
      <c r="C51" s="120" t="str">
        <f>CONCATENATE(IF(WORLDCUP!AC87&gt;WORLDCUP!AD87,1,IF(WORLDCUP!AC87&lt;WORLDCUP!AD87,2,IF(AND(WORLDCUP!AC87=WORLDCUP!AD87,WORLDCUP!AC87&lt;&gt;"",WORLDCUP!AD87&lt;&gt;""),"X",0))),"|",WORLDCUP!AC87,"-",WORLDCUP!AD87)</f>
        <v>1|2-1</v>
      </c>
      <c r="D51" s="644"/>
      <c r="E51" s="139"/>
      <c r="F51" s="139"/>
      <c r="G51" s="139"/>
      <c r="H51" s="139"/>
      <c r="I51" s="150"/>
      <c r="J51" s="139"/>
      <c r="K51" s="139"/>
      <c r="L51" s="139"/>
      <c r="M51" s="148"/>
      <c r="N51" s="146"/>
    </row>
    <row r="52" spans="1:14" ht="15" customHeight="1">
      <c r="A52" s="12" t="s">
        <v>258</v>
      </c>
      <c r="B52" s="127" t="str">
        <f>CONCATENATE(WORLDCUP!AA94,"-",WORLDCUP!AF94)</f>
        <v>England-Ghana</v>
      </c>
      <c r="C52" s="120" t="str">
        <f>CONCATENATE(IF(WORLDCUP!AC94&gt;WORLDCUP!AD94,1,IF(WORLDCUP!AC94&lt;WORLDCUP!AD94,2,IF(AND(WORLDCUP!AC94=WORLDCUP!AD94,WORLDCUP!AC94&lt;&gt;"",WORLDCUP!AD94&lt;&gt;""),"X",0))),"|",WORLDCUP!AC94,"-",WORLDCUP!AD94)</f>
        <v>1|2-1</v>
      </c>
      <c r="D52" s="644"/>
      <c r="E52" s="139"/>
      <c r="F52" s="139"/>
      <c r="G52" s="139"/>
      <c r="H52" s="139"/>
      <c r="I52" s="150"/>
      <c r="J52" s="139"/>
      <c r="K52" s="139"/>
      <c r="L52" s="139"/>
      <c r="M52" s="148"/>
      <c r="N52" s="146"/>
    </row>
    <row r="53" spans="1:14" ht="15" customHeight="1">
      <c r="A53" s="12" t="s">
        <v>258</v>
      </c>
      <c r="B53" s="127" t="str">
        <f>CONCATENATE(WORLDCUP!AA95,"-",WORLDCUP!AF95)</f>
        <v>Panama-Croatia</v>
      </c>
      <c r="C53" s="120" t="str">
        <f>CONCATENATE(IF(WORLDCUP!AC95&gt;WORLDCUP!AD95,1,IF(WORLDCUP!AC95&lt;WORLDCUP!AD95,2,IF(AND(WORLDCUP!AC95=WORLDCUP!AD95,WORLDCUP!AC95&lt;&gt;"",WORLDCUP!AD95&lt;&gt;""),"X",0))),"|",WORLDCUP!AC95,"-",WORLDCUP!AD95)</f>
        <v>2|0-2</v>
      </c>
      <c r="D53" s="647"/>
      <c r="E53" s="141"/>
      <c r="F53" s="141"/>
      <c r="G53" s="141"/>
      <c r="H53" s="141"/>
      <c r="I53" s="151"/>
      <c r="J53" s="139"/>
      <c r="K53" s="139"/>
      <c r="L53" s="139"/>
      <c r="M53" s="148"/>
      <c r="N53" s="146"/>
    </row>
    <row r="54" spans="1:14" ht="15" customHeight="1">
      <c r="A54" s="125" t="s">
        <v>259</v>
      </c>
      <c r="B54" s="126" t="str">
        <f>CONCATENATE(WORLDCUP!AA8,"-",WORLDCUP!AF8)</f>
        <v>Czech Republic-Mexico</v>
      </c>
      <c r="C54" s="120" t="str">
        <f>CONCATENATE(IF(WORLDCUP!AC8&gt;WORLDCUP!AD8,1,IF(WORLDCUP!AC8&lt;WORLDCUP!AD8,2,IF(AND(WORLDCUP!AC8=WORLDCUP!AD8,WORLDCUP!AC8&lt;&gt;"",WORLDCUP!AD8&lt;&gt;""),"X",0))),"|",WORLDCUP!AC8,"-",WORLDCUP!AD8)</f>
        <v>1|2-0</v>
      </c>
      <c r="D54" s="663" t="str">
        <f>Idiomas!D124</f>
        <v>R3</v>
      </c>
      <c r="E54" s="656" t="str">
        <f>Idiomas!D112</f>
        <v>·For the 3rd Round copy from C54 to C161 an paste as values in the Administrator Pool.</v>
      </c>
      <c r="F54" s="643"/>
      <c r="G54" s="643"/>
      <c r="H54" s="643"/>
      <c r="I54" s="150"/>
      <c r="J54" s="139"/>
      <c r="K54" s="139"/>
      <c r="L54" s="139"/>
      <c r="M54" s="148"/>
      <c r="N54" s="146"/>
    </row>
    <row r="55" spans="1:14" ht="15" customHeight="1">
      <c r="A55" s="125" t="s">
        <v>259</v>
      </c>
      <c r="B55" s="126" t="str">
        <f>CONCATENATE(WORLDCUP!AA9,"-",WORLDCUP!AF9)</f>
        <v>South Africa-South Korea</v>
      </c>
      <c r="C55" s="120" t="str">
        <f>CONCATENATE(IF(WORLDCUP!AC9&gt;WORLDCUP!AD9,1,IF(WORLDCUP!AC9&lt;WORLDCUP!AD9,2,IF(AND(WORLDCUP!AC9=WORLDCUP!AD9,WORLDCUP!AC9&lt;&gt;"",WORLDCUP!AD9&lt;&gt;""),"X",0))),"|",WORLDCUP!AC9,"-",WORLDCUP!AD9)</f>
        <v>2|0-2</v>
      </c>
      <c r="D55" s="644"/>
      <c r="E55" s="644"/>
      <c r="F55" s="644"/>
      <c r="G55" s="644"/>
      <c r="H55" s="644"/>
      <c r="I55" s="150"/>
      <c r="J55" s="139"/>
      <c r="K55" s="139"/>
      <c r="L55" s="139"/>
      <c r="M55" s="148"/>
      <c r="N55" s="146"/>
    </row>
    <row r="56" spans="1:14" ht="15" customHeight="1">
      <c r="A56" s="12" t="s">
        <v>260</v>
      </c>
      <c r="B56" s="127" t="str">
        <f>CONCATENATE(WORLDCUP!AA16,"-",WORLDCUP!AF16)</f>
        <v>Switzerland-Canada</v>
      </c>
      <c r="C56" s="120" t="str">
        <f>CONCATENATE(IF(WORLDCUP!AC16&gt;WORLDCUP!AD16,1,IF(WORLDCUP!AC16&lt;WORLDCUP!AD16,2,IF(AND(WORLDCUP!AC16=WORLDCUP!AD16,WORLDCUP!AC16&lt;&gt;"",WORLDCUP!AD16&lt;&gt;""),"X",0))),"|",WORLDCUP!AC16,"-",WORLDCUP!AD16)</f>
        <v>1|2-0</v>
      </c>
      <c r="D56" s="644"/>
      <c r="E56" s="644"/>
      <c r="F56" s="644"/>
      <c r="G56" s="644"/>
      <c r="H56" s="644"/>
      <c r="I56" s="150"/>
      <c r="J56" s="139"/>
      <c r="K56" s="139"/>
      <c r="L56" s="139"/>
      <c r="M56" s="148"/>
      <c r="N56" s="146"/>
    </row>
    <row r="57" spans="1:14" ht="15" customHeight="1">
      <c r="A57" s="12" t="s">
        <v>260</v>
      </c>
      <c r="B57" s="127" t="str">
        <f>CONCATENATE(WORLDCUP!AA17,"-",WORLDCUP!AF17)</f>
        <v>Bosnia and Herzegovina-Qatar</v>
      </c>
      <c r="C57" s="120" t="str">
        <f>CONCATENATE(IF(WORLDCUP!AC17&gt;WORLDCUP!AD17,1,IF(WORLDCUP!AC17&lt;WORLDCUP!AD17,2,IF(AND(WORLDCUP!AC17=WORLDCUP!AD17,WORLDCUP!AC17&lt;&gt;"",WORLDCUP!AD17&lt;&gt;""),"X",0))),"|",WORLDCUP!AC17,"-",WORLDCUP!AD17)</f>
        <v>1|1-0</v>
      </c>
      <c r="D57" s="644"/>
      <c r="E57" s="644"/>
      <c r="F57" s="644"/>
      <c r="G57" s="644"/>
      <c r="H57" s="644"/>
      <c r="I57" s="150"/>
      <c r="J57" s="139"/>
      <c r="K57" s="139"/>
      <c r="L57" s="139"/>
      <c r="M57" s="148"/>
      <c r="N57" s="146"/>
    </row>
    <row r="58" spans="1:14" ht="15" customHeight="1">
      <c r="A58" s="125" t="s">
        <v>261</v>
      </c>
      <c r="B58" s="126" t="str">
        <f>CONCATENATE(WORLDCUP!AA24,"-",WORLDCUP!AF24)</f>
        <v>Scotland-Brazil</v>
      </c>
      <c r="C58" s="120" t="str">
        <f>CONCATENATE(IF(WORLDCUP!AC24&gt;WORLDCUP!AD24,1,IF(WORLDCUP!AC24&lt;WORLDCUP!AD24,2,IF(AND(WORLDCUP!AC24=WORLDCUP!AD24,WORLDCUP!AC24&lt;&gt;"",WORLDCUP!AD24&lt;&gt;""),"X",0))),"|",WORLDCUP!AC24,"-",WORLDCUP!AD24)</f>
        <v>2|1-2</v>
      </c>
      <c r="D58" s="644"/>
      <c r="E58" s="139"/>
      <c r="F58" s="139"/>
      <c r="G58" s="139"/>
      <c r="H58" s="139"/>
      <c r="I58" s="150"/>
      <c r="J58" s="139"/>
      <c r="K58" s="139"/>
      <c r="L58" s="139"/>
      <c r="M58" s="148"/>
      <c r="N58" s="146"/>
    </row>
    <row r="59" spans="1:14" ht="15" customHeight="1">
      <c r="A59" s="125" t="s">
        <v>261</v>
      </c>
      <c r="B59" s="126" t="str">
        <f>CONCATENATE(WORLDCUP!AA25,"-",WORLDCUP!AF25)</f>
        <v>Morocco-Haiti</v>
      </c>
      <c r="C59" s="120" t="str">
        <f>CONCATENATE(IF(WORLDCUP!AC25&gt;WORLDCUP!AD25,1,IF(WORLDCUP!AC25&lt;WORLDCUP!AD25,2,IF(AND(WORLDCUP!AC25=WORLDCUP!AD25,WORLDCUP!AC25&lt;&gt;"",WORLDCUP!AD25&lt;&gt;""),"X",0))),"|",WORLDCUP!AC25,"-",WORLDCUP!AD25)</f>
        <v>1|2-0</v>
      </c>
      <c r="D59" s="644"/>
      <c r="E59" s="139"/>
      <c r="F59" s="139"/>
      <c r="G59" s="139"/>
      <c r="H59" s="139"/>
      <c r="I59" s="150"/>
      <c r="J59" s="139"/>
      <c r="K59" s="139"/>
      <c r="L59" s="139"/>
      <c r="M59" s="148"/>
      <c r="N59" s="146"/>
    </row>
    <row r="60" spans="1:14" ht="15" customHeight="1">
      <c r="A60" s="12" t="s">
        <v>262</v>
      </c>
      <c r="B60" s="127" t="str">
        <f>CONCATENATE(WORLDCUP!AA32,"-",WORLDCUP!AF32)</f>
        <v>Turkey-United States</v>
      </c>
      <c r="C60" s="120" t="str">
        <f>CONCATENATE(IF(WORLDCUP!AC32&gt;WORLDCUP!AD32,1,IF(WORLDCUP!AC32&lt;WORLDCUP!AD32,2,IF(AND(WORLDCUP!AC32=WORLDCUP!AD32,WORLDCUP!AC32&lt;&gt;"",WORLDCUP!AD32&lt;&gt;""),"X",0))),"|",WORLDCUP!AC32,"-",WORLDCUP!AD32)</f>
        <v>1|2-0</v>
      </c>
      <c r="D60" s="644"/>
      <c r="E60" s="139"/>
      <c r="F60" s="139"/>
      <c r="G60" s="139"/>
      <c r="H60" s="139"/>
      <c r="I60" s="150"/>
      <c r="J60" s="139"/>
      <c r="K60" s="139"/>
      <c r="L60" s="139"/>
      <c r="M60" s="148"/>
      <c r="N60" s="146"/>
    </row>
    <row r="61" spans="1:14" ht="15" customHeight="1">
      <c r="A61" s="12" t="s">
        <v>262</v>
      </c>
      <c r="B61" s="127" t="str">
        <f>CONCATENATE(WORLDCUP!AA33,"-",WORLDCUP!AF33)</f>
        <v>Paraguay-Australia</v>
      </c>
      <c r="C61" s="120" t="str">
        <f>CONCATENATE(IF(WORLDCUP!AC33&gt;WORLDCUP!AD33,1,IF(WORLDCUP!AC33&lt;WORLDCUP!AD33,2,IF(AND(WORLDCUP!AC33=WORLDCUP!AD33,WORLDCUP!AC33&lt;&gt;"",WORLDCUP!AD33&lt;&gt;""),"X",0))),"|",WORLDCUP!AC33,"-",WORLDCUP!AD33)</f>
        <v>1|2-0</v>
      </c>
      <c r="D61" s="644"/>
      <c r="E61" s="139"/>
      <c r="F61" s="139"/>
      <c r="G61" s="139"/>
      <c r="H61" s="139"/>
      <c r="I61" s="150"/>
      <c r="J61" s="139"/>
      <c r="K61" s="139"/>
      <c r="L61" s="139"/>
      <c r="M61" s="148"/>
      <c r="N61" s="146"/>
    </row>
    <row r="62" spans="1:14" ht="15" customHeight="1">
      <c r="A62" s="125" t="s">
        <v>263</v>
      </c>
      <c r="B62" s="126" t="str">
        <f>CONCATENATE(WORLDCUP!AA40,"-",WORLDCUP!AF40)</f>
        <v>Curaçao-Ivory Coast</v>
      </c>
      <c r="C62" s="120" t="str">
        <f>CONCATENATE(IF(WORLDCUP!AC40&gt;WORLDCUP!AD40,1,IF(WORLDCUP!AC40&lt;WORLDCUP!AD40,2,IF(AND(WORLDCUP!AC40=WORLDCUP!AD40,WORLDCUP!AC40&lt;&gt;"",WORLDCUP!AD40&lt;&gt;""),"X",0))),"|",WORLDCUP!AC40,"-",WORLDCUP!AD40)</f>
        <v>X|1-1</v>
      </c>
      <c r="D62" s="644"/>
      <c r="E62" s="139"/>
      <c r="F62" s="139"/>
      <c r="G62" s="139"/>
      <c r="H62" s="139"/>
      <c r="I62" s="150"/>
      <c r="J62" s="139"/>
      <c r="K62" s="139"/>
      <c r="L62" s="139"/>
      <c r="M62" s="148"/>
      <c r="N62" s="146"/>
    </row>
    <row r="63" spans="1:14" ht="15" customHeight="1">
      <c r="A63" s="125" t="s">
        <v>263</v>
      </c>
      <c r="B63" s="126" t="str">
        <f>CONCATENATE(WORLDCUP!AA41,"-",WORLDCUP!AF41)</f>
        <v>Ecuador-Germany</v>
      </c>
      <c r="C63" s="120" t="str">
        <f>CONCATENATE(IF(WORLDCUP!AC41&gt;WORLDCUP!AD41,1,IF(WORLDCUP!AC41&lt;WORLDCUP!AD41,2,IF(AND(WORLDCUP!AC41=WORLDCUP!AD41,WORLDCUP!AC41&lt;&gt;"",WORLDCUP!AD41&lt;&gt;""),"X",0))),"|",WORLDCUP!AC41,"-",WORLDCUP!AD41)</f>
        <v>2|0-2</v>
      </c>
      <c r="D63" s="644"/>
      <c r="E63" s="139"/>
      <c r="F63" s="139"/>
      <c r="G63" s="139"/>
      <c r="H63" s="139"/>
      <c r="I63" s="150"/>
      <c r="J63" s="139"/>
      <c r="K63" s="139"/>
      <c r="L63" s="139"/>
      <c r="M63" s="148"/>
      <c r="N63" s="146"/>
    </row>
    <row r="64" spans="1:14" ht="15" customHeight="1">
      <c r="A64" s="12" t="s">
        <v>264</v>
      </c>
      <c r="B64" s="127" t="str">
        <f>CONCATENATE(WORLDCUP!AA48,"-",WORLDCUP!AF48)</f>
        <v>Japan-Sweden</v>
      </c>
      <c r="C64" s="120" t="str">
        <f>CONCATENATE(IF(WORLDCUP!AC48&gt;WORLDCUP!AD48,1,IF(WORLDCUP!AC48&lt;WORLDCUP!AD48,2,IF(AND(WORLDCUP!AC48=WORLDCUP!AD48,WORLDCUP!AC48&lt;&gt;"",WORLDCUP!AD48&lt;&gt;""),"X",0))),"|",WORLDCUP!AC48,"-",WORLDCUP!AD48)</f>
        <v>2|0-2</v>
      </c>
      <c r="D64" s="644"/>
      <c r="E64" s="139"/>
      <c r="F64" s="139"/>
      <c r="G64" s="139"/>
      <c r="H64" s="139"/>
      <c r="I64" s="150"/>
      <c r="J64" s="139"/>
      <c r="K64" s="139"/>
      <c r="L64" s="139"/>
      <c r="M64" s="148"/>
      <c r="N64" s="146"/>
    </row>
    <row r="65" spans="1:14" ht="15" customHeight="1">
      <c r="A65" s="12" t="s">
        <v>264</v>
      </c>
      <c r="B65" s="127" t="str">
        <f>CONCATENATE(WORLDCUP!AA49,"-",WORLDCUP!AF49)</f>
        <v>Tunisia-Netherlands</v>
      </c>
      <c r="C65" s="120" t="str">
        <f>CONCATENATE(IF(WORLDCUP!AC49&gt;WORLDCUP!AD49,1,IF(WORLDCUP!AC49&lt;WORLDCUP!AD49,2,IF(AND(WORLDCUP!AC49=WORLDCUP!AD49,WORLDCUP!AC49&lt;&gt;"",WORLDCUP!AD49&lt;&gt;""),"X",0))),"|",WORLDCUP!AC49,"-",WORLDCUP!AD49)</f>
        <v>2|0-2</v>
      </c>
      <c r="D65" s="644"/>
      <c r="E65" s="139"/>
      <c r="F65" s="139"/>
      <c r="G65" s="139"/>
      <c r="H65" s="139"/>
      <c r="I65" s="150"/>
      <c r="J65" s="139"/>
      <c r="K65" s="139"/>
      <c r="L65" s="139"/>
      <c r="M65" s="148"/>
      <c r="N65" s="146"/>
    </row>
    <row r="66" spans="1:14" ht="15" customHeight="1">
      <c r="A66" s="125" t="s">
        <v>265</v>
      </c>
      <c r="B66" s="126" t="str">
        <f>CONCATENATE(WORLDCUP!AA56,"-",WORLDCUP!AF56)</f>
        <v>Egypt-Iran</v>
      </c>
      <c r="C66" s="120" t="str">
        <f>CONCATENATE(IF(WORLDCUP!AC56&gt;WORLDCUP!AD56,1,IF(WORLDCUP!AC56&lt;WORLDCUP!AD56,2,IF(AND(WORLDCUP!AC56=WORLDCUP!AD56,WORLDCUP!AC56&lt;&gt;"",WORLDCUP!AD56&lt;&gt;""),"X",0))),"|",WORLDCUP!AC56,"-",WORLDCUP!AD56)</f>
        <v>2|0-1</v>
      </c>
      <c r="D66" s="644"/>
      <c r="E66" s="139"/>
      <c r="F66" s="139"/>
      <c r="G66" s="139"/>
      <c r="H66" s="139"/>
      <c r="I66" s="150"/>
      <c r="J66" s="139"/>
      <c r="K66" s="139"/>
      <c r="L66" s="139"/>
      <c r="M66" s="148"/>
      <c r="N66" s="146"/>
    </row>
    <row r="67" spans="1:14" ht="15" customHeight="1">
      <c r="A67" s="125" t="s">
        <v>265</v>
      </c>
      <c r="B67" s="126" t="str">
        <f>CONCATENATE(WORLDCUP!AA57,"-",WORLDCUP!AF57)</f>
        <v>New Zealand-Belgium</v>
      </c>
      <c r="C67" s="120" t="str">
        <f>CONCATENATE(IF(WORLDCUP!AC57&gt;WORLDCUP!AD57,1,IF(WORLDCUP!AC57&lt;WORLDCUP!AD57,2,IF(AND(WORLDCUP!AC57=WORLDCUP!AD57,WORLDCUP!AC57&lt;&gt;"",WORLDCUP!AD57&lt;&gt;""),"X",0))),"|",WORLDCUP!AC57,"-",WORLDCUP!AD57)</f>
        <v>2|0-2</v>
      </c>
      <c r="D67" s="644"/>
      <c r="E67" s="139"/>
      <c r="F67" s="139"/>
      <c r="G67" s="139"/>
      <c r="H67" s="139"/>
      <c r="I67" s="150"/>
      <c r="J67" s="139"/>
      <c r="K67" s="139"/>
      <c r="L67" s="139"/>
      <c r="M67" s="148"/>
      <c r="N67" s="146"/>
    </row>
    <row r="68" spans="1:14" ht="15" customHeight="1">
      <c r="A68" s="12" t="s">
        <v>266</v>
      </c>
      <c r="B68" s="127" t="str">
        <f>CONCATENATE(WORLDCUP!AA64,"-",WORLDCUP!AF64)</f>
        <v>Cape Verde-Saudi Arabia</v>
      </c>
      <c r="C68" s="120" t="str">
        <f>CONCATENATE(IF(WORLDCUP!AC64&gt;WORLDCUP!AD64,1,IF(WORLDCUP!AC64&lt;WORLDCUP!AD64,2,IF(AND(WORLDCUP!AC64=WORLDCUP!AD64,WORLDCUP!AC64&lt;&gt;"",WORLDCUP!AD64&lt;&gt;""),"X",0))),"|",WORLDCUP!AC64,"-",WORLDCUP!AD64)</f>
        <v>X|0-0</v>
      </c>
      <c r="D68" s="644"/>
      <c r="E68" s="139"/>
      <c r="F68" s="139"/>
      <c r="G68" s="139"/>
      <c r="H68" s="139"/>
      <c r="I68" s="150"/>
      <c r="J68" s="139"/>
      <c r="K68" s="139"/>
      <c r="L68" s="139"/>
      <c r="M68" s="148"/>
      <c r="N68" s="146"/>
    </row>
    <row r="69" spans="1:14" ht="15" customHeight="1">
      <c r="A69" s="12" t="s">
        <v>266</v>
      </c>
      <c r="B69" s="127" t="str">
        <f>CONCATENATE(WORLDCUP!AA65,"-",WORLDCUP!AF65)</f>
        <v>Uruguay-Spain</v>
      </c>
      <c r="C69" s="120" t="str">
        <f>CONCATENATE(IF(WORLDCUP!AC65&gt;WORLDCUP!AD65,1,IF(WORLDCUP!AC65&lt;WORLDCUP!AD65,2,IF(AND(WORLDCUP!AC65=WORLDCUP!AD65,WORLDCUP!AC65&lt;&gt;"",WORLDCUP!AD65&lt;&gt;""),"X",0))),"|",WORLDCUP!AC65,"-",WORLDCUP!AD65)</f>
        <v>2|1-3</v>
      </c>
      <c r="D69" s="644"/>
      <c r="E69" s="139"/>
      <c r="F69" s="139"/>
      <c r="G69" s="139"/>
      <c r="H69" s="139"/>
      <c r="I69" s="150"/>
      <c r="J69" s="139"/>
      <c r="K69" s="139"/>
      <c r="L69" s="139"/>
      <c r="M69" s="148"/>
      <c r="N69" s="146"/>
    </row>
    <row r="70" spans="1:14" ht="15" customHeight="1">
      <c r="A70" s="125" t="s">
        <v>267</v>
      </c>
      <c r="B70" s="126" t="str">
        <f>CONCATENATE(WORLDCUP!AA72,"-",WORLDCUP!AF72)</f>
        <v>Norway-France</v>
      </c>
      <c r="C70" s="120" t="str">
        <f>CONCATENATE(IF(WORLDCUP!AC72&gt;WORLDCUP!AD72,1,IF(WORLDCUP!AC72&lt;WORLDCUP!AD72,2,IF(AND(WORLDCUP!AC72=WORLDCUP!AD72,WORLDCUP!AC72&lt;&gt;"",WORLDCUP!AD72&lt;&gt;""),"X",0))),"|",WORLDCUP!AC72,"-",WORLDCUP!AD72)</f>
        <v>2|1-2</v>
      </c>
      <c r="D70" s="644"/>
      <c r="E70" s="139"/>
      <c r="F70" s="139"/>
      <c r="G70" s="139"/>
      <c r="H70" s="139"/>
      <c r="I70" s="150"/>
      <c r="J70" s="139"/>
      <c r="K70" s="139"/>
      <c r="L70" s="139"/>
      <c r="M70" s="148"/>
      <c r="N70" s="146"/>
    </row>
    <row r="71" spans="1:14" ht="15" customHeight="1">
      <c r="A71" s="125" t="s">
        <v>267</v>
      </c>
      <c r="B71" s="126" t="str">
        <f>CONCATENATE(WORLDCUP!AA73,"-",WORLDCUP!AF73)</f>
        <v>Senegal-Iraq</v>
      </c>
      <c r="C71" s="120" t="str">
        <f>CONCATENATE(IF(WORLDCUP!AC73&gt;WORLDCUP!AD73,1,IF(WORLDCUP!AC73&lt;WORLDCUP!AD73,2,IF(AND(WORLDCUP!AC73=WORLDCUP!AD73,WORLDCUP!AC73&lt;&gt;"",WORLDCUP!AD73&lt;&gt;""),"X",0))),"|",WORLDCUP!AC73,"-",WORLDCUP!AD73)</f>
        <v>1|1-0</v>
      </c>
      <c r="D71" s="644"/>
      <c r="E71" s="139"/>
      <c r="F71" s="139"/>
      <c r="G71" s="139"/>
      <c r="H71" s="139"/>
      <c r="I71" s="150"/>
      <c r="J71" s="139"/>
      <c r="K71" s="139"/>
      <c r="L71" s="139"/>
      <c r="M71" s="148"/>
      <c r="N71" s="146"/>
    </row>
    <row r="72" spans="1:14" ht="15" customHeight="1">
      <c r="A72" s="12" t="s">
        <v>268</v>
      </c>
      <c r="B72" s="127" t="str">
        <f>CONCATENATE(WORLDCUP!AA80,"-",WORLDCUP!AF80)</f>
        <v>Algeria-Austria</v>
      </c>
      <c r="C72" s="120" t="str">
        <f>CONCATENATE(IF(WORLDCUP!AC80&gt;WORLDCUP!AD80,1,IF(WORLDCUP!AC80&lt;WORLDCUP!AD80,2,IF(AND(WORLDCUP!AC80=WORLDCUP!AD80,WORLDCUP!AC80&lt;&gt;"",WORLDCUP!AD80&lt;&gt;""),"X",0))),"|",WORLDCUP!AC80,"-",WORLDCUP!AD80)</f>
        <v>2|0-2</v>
      </c>
      <c r="D72" s="644"/>
      <c r="E72" s="139"/>
      <c r="F72" s="139"/>
      <c r="G72" s="139"/>
      <c r="H72" s="139"/>
      <c r="I72" s="150"/>
      <c r="J72" s="139"/>
      <c r="K72" s="139"/>
      <c r="L72" s="139"/>
      <c r="M72" s="148"/>
      <c r="N72" s="146"/>
    </row>
    <row r="73" spans="1:14" ht="15" customHeight="1">
      <c r="A73" s="12" t="s">
        <v>268</v>
      </c>
      <c r="B73" s="127" t="str">
        <f>CONCATENATE(WORLDCUP!AA81,"-",WORLDCUP!AF81)</f>
        <v>Jordan-Argentina</v>
      </c>
      <c r="C73" s="120" t="str">
        <f>CONCATENATE(IF(WORLDCUP!AC81&gt;WORLDCUP!AD81,1,IF(WORLDCUP!AC81&lt;WORLDCUP!AD81,2,IF(AND(WORLDCUP!AC81=WORLDCUP!AD81,WORLDCUP!AC81&lt;&gt;"",WORLDCUP!AD81&lt;&gt;""),"X",0))),"|",WORLDCUP!AC81,"-",WORLDCUP!AD81)</f>
        <v>2|0-2</v>
      </c>
      <c r="D73" s="644"/>
      <c r="E73" s="139"/>
      <c r="F73" s="139"/>
      <c r="G73" s="139"/>
      <c r="H73" s="139"/>
      <c r="I73" s="150"/>
      <c r="J73" s="139"/>
      <c r="K73" s="139"/>
      <c r="L73" s="139"/>
      <c r="M73" s="148"/>
      <c r="N73" s="146"/>
    </row>
    <row r="74" spans="1:14" ht="15" customHeight="1">
      <c r="A74" s="125" t="s">
        <v>269</v>
      </c>
      <c r="B74" s="126" t="str">
        <f>CONCATENATE(WORLDCUP!AA88,"-",WORLDCUP!AF88)</f>
        <v>Colombia-Portugal</v>
      </c>
      <c r="C74" s="120" t="str">
        <f>CONCATENATE(IF(WORLDCUP!AC88&gt;WORLDCUP!AD88,1,IF(WORLDCUP!AC88&lt;WORLDCUP!AD88,2,IF(AND(WORLDCUP!AC88=WORLDCUP!AD88,WORLDCUP!AC88&lt;&gt;"",WORLDCUP!AD88&lt;&gt;""),"X",0))),"|",WORLDCUP!AC88,"-",WORLDCUP!AD88)</f>
        <v>2|0-2</v>
      </c>
      <c r="D74" s="644"/>
      <c r="E74" s="139"/>
      <c r="F74" s="139"/>
      <c r="G74" s="139"/>
      <c r="H74" s="139"/>
      <c r="I74" s="150"/>
      <c r="J74" s="139"/>
      <c r="K74" s="139"/>
      <c r="L74" s="139"/>
      <c r="M74" s="148"/>
      <c r="N74" s="146"/>
    </row>
    <row r="75" spans="1:14" ht="15" customHeight="1">
      <c r="A75" s="125" t="s">
        <v>269</v>
      </c>
      <c r="B75" s="126" t="str">
        <f>CONCATENATE(WORLDCUP!AA89,"-",WORLDCUP!AF89)</f>
        <v>DR Congo-Uzbekistan</v>
      </c>
      <c r="C75" s="120" t="str">
        <f>CONCATENATE(IF(WORLDCUP!AC89&gt;WORLDCUP!AD89,1,IF(WORLDCUP!AC89&lt;WORLDCUP!AD89,2,IF(AND(WORLDCUP!AC89=WORLDCUP!AD89,WORLDCUP!AC89&lt;&gt;"",WORLDCUP!AD89&lt;&gt;""),"X",0))),"|",WORLDCUP!AC89,"-",WORLDCUP!AD89)</f>
        <v>X|1-1</v>
      </c>
      <c r="D75" s="644"/>
      <c r="E75" s="139"/>
      <c r="F75" s="139"/>
      <c r="G75" s="139"/>
      <c r="H75" s="139"/>
      <c r="I75" s="150"/>
      <c r="J75" s="139"/>
      <c r="K75" s="139"/>
      <c r="L75" s="139"/>
      <c r="M75" s="148"/>
      <c r="N75" s="146"/>
    </row>
    <row r="76" spans="1:14" ht="15" customHeight="1">
      <c r="A76" s="12" t="s">
        <v>270</v>
      </c>
      <c r="B76" s="127" t="str">
        <f>CONCATENATE(WORLDCUP!AA96,"-",WORLDCUP!AF96)</f>
        <v>Panama-England</v>
      </c>
      <c r="C76" s="120" t="str">
        <f>CONCATENATE(IF(WORLDCUP!AC96&gt;WORLDCUP!AD96,1,IF(WORLDCUP!AC96&lt;WORLDCUP!AD96,2,IF(AND(WORLDCUP!AC96=WORLDCUP!AD96,WORLDCUP!AC96&lt;&gt;"",WORLDCUP!AD96&lt;&gt;""),"X",0))),"|",WORLDCUP!AC96,"-",WORLDCUP!AD96)</f>
        <v>2|0-3</v>
      </c>
      <c r="D76" s="644"/>
      <c r="E76" s="139"/>
      <c r="F76" s="139"/>
      <c r="G76" s="139"/>
      <c r="H76" s="139"/>
      <c r="I76" s="150"/>
      <c r="J76" s="139"/>
      <c r="K76" s="139"/>
      <c r="L76" s="139"/>
      <c r="M76" s="148"/>
      <c r="N76" s="146"/>
    </row>
    <row r="77" spans="1:14" ht="15" customHeight="1">
      <c r="A77" s="12" t="s">
        <v>270</v>
      </c>
      <c r="B77" s="127" t="str">
        <f>CONCATENATE(WORLDCUP!AA97,"-",WORLDCUP!AF97)</f>
        <v>Croatia-Ghana</v>
      </c>
      <c r="C77" s="120" t="str">
        <f>CONCATENATE(IF(WORLDCUP!AC97&gt;WORLDCUP!AD97,1,IF(WORLDCUP!AC97&lt;WORLDCUP!AD97,2,IF(AND(WORLDCUP!AC97=WORLDCUP!AD97,WORLDCUP!AC97&lt;&gt;"",WORLDCUP!AD97&lt;&gt;""),"X",0))),"|",WORLDCUP!AC97,"-",WORLDCUP!AD97)</f>
        <v>1|2-1</v>
      </c>
      <c r="D77" s="644"/>
      <c r="E77" s="139"/>
      <c r="F77" s="139"/>
      <c r="G77" s="139"/>
      <c r="H77" s="139"/>
      <c r="I77" s="150"/>
      <c r="J77" s="139"/>
      <c r="K77" s="139"/>
      <c r="L77" s="139"/>
      <c r="M77" s="148"/>
      <c r="N77" s="146"/>
    </row>
    <row r="78" spans="1:14" ht="15" customHeight="1">
      <c r="A78" s="34"/>
      <c r="B78" s="34"/>
      <c r="C78" s="121"/>
      <c r="D78" s="644"/>
      <c r="E78" s="139"/>
      <c r="F78" s="139"/>
      <c r="G78" s="139"/>
      <c r="H78" s="139"/>
      <c r="I78" s="150"/>
      <c r="J78" s="139"/>
      <c r="K78" s="139"/>
      <c r="L78" s="139"/>
      <c r="M78" s="148"/>
      <c r="N78" s="146"/>
    </row>
    <row r="79" spans="1:14" ht="19.149999999999999" customHeight="1">
      <c r="A79" s="34"/>
      <c r="B79" s="128" t="str">
        <f>Idiomas!D126</f>
        <v>GROUP POSITION</v>
      </c>
      <c r="C79" s="121"/>
      <c r="D79" s="644"/>
      <c r="E79" s="139"/>
      <c r="F79" s="139"/>
      <c r="G79" s="139"/>
      <c r="H79" s="139"/>
      <c r="I79" s="150"/>
      <c r="J79" s="139"/>
      <c r="K79" s="139"/>
      <c r="L79" s="139"/>
      <c r="M79" s="148"/>
      <c r="N79" s="146"/>
    </row>
    <row r="80" spans="1:14" ht="15" customHeight="1">
      <c r="A80" s="657" t="s">
        <v>20</v>
      </c>
      <c r="B80" s="129" t="str">
        <f>Idiomas!D140</f>
        <v>1st GROUP A</v>
      </c>
      <c r="C80" s="120" t="str">
        <f>IF(OR(SUM(WORLDCUP!$AN$6:$AN$9)=12,WORLDCUP!$AJ$99=144),WORLDCUP!AL6,B80)</f>
        <v>Czech Republic</v>
      </c>
      <c r="D80" s="644"/>
      <c r="E80" s="139"/>
      <c r="F80" s="139"/>
      <c r="G80" s="139"/>
      <c r="H80" s="139"/>
      <c r="I80" s="150"/>
      <c r="J80" s="139"/>
      <c r="K80" s="139"/>
      <c r="L80" s="139"/>
      <c r="M80" s="148"/>
      <c r="N80" s="146"/>
    </row>
    <row r="81" spans="1:14" ht="15" customHeight="1">
      <c r="A81" s="641"/>
      <c r="B81" s="129" t="str">
        <f>Idiomas!D141</f>
        <v>2nd GROUP A</v>
      </c>
      <c r="C81" s="120" t="str">
        <f>IF(OR(SUM(WORLDCUP!$AN$6:$AN$9)=12,WORLDCUP!$AJ$99=144),WORLDCUP!AL7,B81)</f>
        <v>South Korea</v>
      </c>
      <c r="D81" s="644"/>
      <c r="E81" s="139"/>
      <c r="F81" s="139"/>
      <c r="G81" s="139"/>
      <c r="H81" s="139"/>
      <c r="I81" s="150"/>
      <c r="J81" s="139"/>
      <c r="K81" s="139"/>
      <c r="L81" s="139"/>
      <c r="M81" s="148"/>
      <c r="N81" s="146"/>
    </row>
    <row r="82" spans="1:14" ht="15" customHeight="1">
      <c r="A82" s="641"/>
      <c r="B82" s="129" t="str">
        <f>Idiomas!D142</f>
        <v>3rd GROUP A</v>
      </c>
      <c r="C82" s="120" t="str">
        <f>IF(OR(SUM(WORLDCUP!$AN$6:$AN$9)=12,WORLDCUP!$AJ$99=144),WORLDCUP!AL8,B82)</f>
        <v>Mexico</v>
      </c>
      <c r="D82" s="644"/>
      <c r="E82" s="139"/>
      <c r="F82" s="139"/>
      <c r="G82" s="139"/>
      <c r="H82" s="139"/>
      <c r="I82" s="150"/>
      <c r="J82" s="139"/>
      <c r="K82" s="139"/>
      <c r="L82" s="139"/>
      <c r="M82" s="148"/>
      <c r="N82" s="146"/>
    </row>
    <row r="83" spans="1:14" ht="15" customHeight="1">
      <c r="A83" s="641"/>
      <c r="B83" s="129" t="str">
        <f>Idiomas!D143</f>
        <v>4th GROUP A</v>
      </c>
      <c r="C83" s="120" t="str">
        <f>IF(OR(SUM(WORLDCUP!$AN$6:$AN$9)=12,WORLDCUP!$AJ$99=144),WORLDCUP!AL9,B83)</f>
        <v>South Africa</v>
      </c>
      <c r="D83" s="644"/>
      <c r="E83" s="139"/>
      <c r="F83" s="139"/>
      <c r="G83" s="139"/>
      <c r="H83" s="139"/>
      <c r="I83" s="150"/>
      <c r="J83" s="139"/>
      <c r="K83" s="139"/>
      <c r="L83" s="139"/>
      <c r="M83" s="148"/>
      <c r="N83" s="146"/>
    </row>
    <row r="84" spans="1:14" ht="15" customHeight="1">
      <c r="A84" s="651" t="s">
        <v>80</v>
      </c>
      <c r="B84" s="127" t="str">
        <f>Idiomas!D144</f>
        <v>1st GROUP B</v>
      </c>
      <c r="C84" s="120" t="str">
        <f>IF(OR(SUM(WORLDCUP!$AN$14:$AN$17)=12,WORLDCUP!$AJ$99=144),WORLDCUP!AL14,B84)</f>
        <v>Switzerland</v>
      </c>
      <c r="D84" s="644"/>
      <c r="E84" s="139"/>
      <c r="F84" s="139"/>
      <c r="G84" s="139"/>
      <c r="H84" s="139"/>
      <c r="I84" s="150"/>
      <c r="J84" s="139"/>
      <c r="K84" s="139"/>
      <c r="L84" s="139"/>
      <c r="M84" s="148"/>
      <c r="N84" s="146"/>
    </row>
    <row r="85" spans="1:14" ht="15" customHeight="1">
      <c r="A85" s="641"/>
      <c r="B85" s="127" t="str">
        <f>Idiomas!D145</f>
        <v>2nd GROUP B</v>
      </c>
      <c r="C85" s="120" t="str">
        <f>IF(OR(SUM(WORLDCUP!$AN$14:$AN$17)=12,WORLDCUP!$AJ$99=144),WORLDCUP!AL15,B85)</f>
        <v>Canada</v>
      </c>
      <c r="D85" s="644"/>
      <c r="E85" s="139"/>
      <c r="F85" s="139"/>
      <c r="G85" s="139"/>
      <c r="H85" s="139"/>
      <c r="I85" s="150"/>
      <c r="J85" s="139"/>
      <c r="K85" s="139"/>
      <c r="L85" s="139"/>
      <c r="M85" s="148"/>
      <c r="N85" s="146"/>
    </row>
    <row r="86" spans="1:14" ht="15" customHeight="1">
      <c r="A86" s="641"/>
      <c r="B86" s="127" t="str">
        <f>Idiomas!D146</f>
        <v>3rd GROUP B</v>
      </c>
      <c r="C86" s="120" t="str">
        <f>IF(OR(SUM(WORLDCUP!$AN$14:$AN$17)=12,WORLDCUP!$AJ$99=144),WORLDCUP!AL16,B86)</f>
        <v>Bosnia and Herzegovina</v>
      </c>
      <c r="D86" s="644"/>
      <c r="E86" s="139"/>
      <c r="F86" s="139"/>
      <c r="G86" s="139"/>
      <c r="H86" s="139"/>
      <c r="I86" s="150"/>
      <c r="J86" s="139"/>
      <c r="K86" s="139"/>
      <c r="L86" s="139"/>
      <c r="M86" s="148"/>
      <c r="N86" s="146"/>
    </row>
    <row r="87" spans="1:14" ht="15" customHeight="1">
      <c r="A87" s="641"/>
      <c r="B87" s="127" t="str">
        <f>Idiomas!D147</f>
        <v>4th GROUP B</v>
      </c>
      <c r="C87" s="120" t="str">
        <f>IF(OR(SUM(WORLDCUP!$AN$14:$AN$17)=12,WORLDCUP!$AJ$99=144),WORLDCUP!AL17,B87)</f>
        <v>Qatar</v>
      </c>
      <c r="D87" s="644"/>
      <c r="E87" s="139"/>
      <c r="F87" s="139"/>
      <c r="G87" s="139"/>
      <c r="H87" s="139"/>
      <c r="I87" s="150"/>
      <c r="J87" s="139"/>
      <c r="K87" s="139"/>
      <c r="L87" s="139"/>
      <c r="M87" s="148"/>
      <c r="N87" s="146"/>
    </row>
    <row r="88" spans="1:14" ht="15" customHeight="1">
      <c r="A88" s="657" t="s">
        <v>89</v>
      </c>
      <c r="B88" s="129" t="str">
        <f>Idiomas!D148</f>
        <v>1st GROUP C</v>
      </c>
      <c r="C88" s="120" t="str">
        <f>IF(OR(SUM(WORLDCUP!$AN$22:$AN$25)=12,WORLDCUP!$AJ$99=144),WORLDCUP!AL22,B88)</f>
        <v>Brazil</v>
      </c>
      <c r="D88" s="644"/>
      <c r="E88" s="139"/>
      <c r="F88" s="139"/>
      <c r="G88" s="139"/>
      <c r="H88" s="139"/>
      <c r="I88" s="150"/>
      <c r="J88" s="139"/>
      <c r="K88" s="139"/>
      <c r="L88" s="139"/>
      <c r="M88" s="148"/>
      <c r="N88" s="146"/>
    </row>
    <row r="89" spans="1:14" ht="15" customHeight="1">
      <c r="A89" s="641"/>
      <c r="B89" s="129" t="str">
        <f>Idiomas!D149</f>
        <v>2nd GROUP C</v>
      </c>
      <c r="C89" s="120" t="str">
        <f>IF(OR(SUM(WORLDCUP!$AN$22:$AN$25)=12,WORLDCUP!$AJ$99=144),WORLDCUP!AL23,B89)</f>
        <v>Morocco</v>
      </c>
      <c r="D89" s="644"/>
      <c r="E89" s="139"/>
      <c r="F89" s="139"/>
      <c r="G89" s="139"/>
      <c r="H89" s="139"/>
      <c r="I89" s="150"/>
      <c r="J89" s="139"/>
      <c r="K89" s="139"/>
      <c r="L89" s="139"/>
      <c r="M89" s="148"/>
      <c r="N89" s="146"/>
    </row>
    <row r="90" spans="1:14" ht="15" customHeight="1">
      <c r="A90" s="641"/>
      <c r="B90" s="129" t="str">
        <f>Idiomas!D150</f>
        <v>3rd GROUP C</v>
      </c>
      <c r="C90" s="120" t="str">
        <f>IF(OR(SUM(WORLDCUP!$AN$22:$AN$25)=12,WORLDCUP!$AJ$99=144),WORLDCUP!AL24,B90)</f>
        <v>Scotland</v>
      </c>
      <c r="D90" s="644"/>
      <c r="E90" s="139"/>
      <c r="F90" s="139"/>
      <c r="G90" s="139"/>
      <c r="H90" s="139"/>
      <c r="I90" s="150"/>
      <c r="J90" s="139"/>
      <c r="K90" s="139"/>
      <c r="L90" s="139"/>
      <c r="M90" s="148"/>
      <c r="N90" s="146"/>
    </row>
    <row r="91" spans="1:14" ht="15" customHeight="1">
      <c r="A91" s="641"/>
      <c r="B91" s="129" t="str">
        <f>Idiomas!D151</f>
        <v>4th GROUP C</v>
      </c>
      <c r="C91" s="120" t="str">
        <f>IF(OR(SUM(WORLDCUP!$AN$22:$AN$25)=12,WORLDCUP!$AJ$99=144),WORLDCUP!AL25,B91)</f>
        <v>Haiti</v>
      </c>
      <c r="D91" s="644"/>
      <c r="E91" s="139"/>
      <c r="F91" s="139"/>
      <c r="G91" s="139"/>
      <c r="H91" s="139"/>
      <c r="I91" s="150"/>
      <c r="J91" s="139"/>
      <c r="K91" s="139"/>
      <c r="L91" s="139"/>
      <c r="M91" s="148"/>
      <c r="N91" s="146"/>
    </row>
    <row r="92" spans="1:14" ht="15" customHeight="1">
      <c r="A92" s="651" t="s">
        <v>98</v>
      </c>
      <c r="B92" s="127" t="str">
        <f>Idiomas!D152</f>
        <v>1st GROUP D</v>
      </c>
      <c r="C92" s="120" t="str">
        <f>IF(OR(SUM(WORLDCUP!$AN$30:$AN$33)=12,WORLDCUP!$AJ$99=144),WORLDCUP!AL30,B92)</f>
        <v>Turkey</v>
      </c>
      <c r="D92" s="644"/>
      <c r="E92" s="139"/>
      <c r="F92" s="139"/>
      <c r="G92" s="139"/>
      <c r="H92" s="139"/>
      <c r="I92" s="150"/>
      <c r="J92" s="139"/>
      <c r="K92" s="139"/>
      <c r="L92" s="139"/>
      <c r="M92" s="148"/>
      <c r="N92" s="146"/>
    </row>
    <row r="93" spans="1:14" ht="15" customHeight="1">
      <c r="A93" s="641"/>
      <c r="B93" s="127" t="str">
        <f>Idiomas!D153</f>
        <v>2nd GROUP D</v>
      </c>
      <c r="C93" s="120" t="str">
        <f>IF(OR(SUM(WORLDCUP!$AN$30:$AN$33)=12,WORLDCUP!$AJ$99=144),WORLDCUP!AL31,B93)</f>
        <v>United States</v>
      </c>
      <c r="D93" s="644"/>
      <c r="E93" s="139"/>
      <c r="F93" s="139"/>
      <c r="G93" s="139"/>
      <c r="H93" s="139"/>
      <c r="I93" s="150"/>
      <c r="J93" s="139"/>
      <c r="K93" s="139"/>
      <c r="L93" s="139"/>
      <c r="M93" s="148"/>
      <c r="N93" s="146"/>
    </row>
    <row r="94" spans="1:14" ht="15" customHeight="1">
      <c r="A94" s="641"/>
      <c r="B94" s="127" t="str">
        <f>Idiomas!D154</f>
        <v>3rd GROUP D</v>
      </c>
      <c r="C94" s="120" t="str">
        <f>IF(OR(SUM(WORLDCUP!$AN$30:$AN$33)=12,WORLDCUP!$AJ$99=144),WORLDCUP!AL32,B94)</f>
        <v>Paraguay</v>
      </c>
      <c r="D94" s="644"/>
      <c r="E94" s="139"/>
      <c r="F94" s="139"/>
      <c r="G94" s="139"/>
      <c r="H94" s="139"/>
      <c r="I94" s="150"/>
      <c r="J94" s="139"/>
      <c r="K94" s="139"/>
      <c r="L94" s="139"/>
      <c r="M94" s="148"/>
      <c r="N94" s="146"/>
    </row>
    <row r="95" spans="1:14" ht="15" customHeight="1">
      <c r="A95" s="641"/>
      <c r="B95" s="127" t="str">
        <f>Idiomas!D155</f>
        <v>4th GROUP D</v>
      </c>
      <c r="C95" s="120" t="str">
        <f>IF(OR(SUM(WORLDCUP!$AN$30:$AN$33)=12,WORLDCUP!$AJ$99=144),WORLDCUP!AL33,B95)</f>
        <v>Australia</v>
      </c>
      <c r="D95" s="644"/>
      <c r="E95" s="139"/>
      <c r="F95" s="139"/>
      <c r="G95" s="139"/>
      <c r="H95" s="139"/>
      <c r="I95" s="150"/>
      <c r="J95" s="139"/>
      <c r="K95" s="139"/>
      <c r="L95" s="139"/>
      <c r="M95" s="148"/>
      <c r="N95" s="146"/>
    </row>
    <row r="96" spans="1:14" ht="15" customHeight="1">
      <c r="A96" s="657" t="s">
        <v>107</v>
      </c>
      <c r="B96" s="129" t="str">
        <f>Idiomas!D156</f>
        <v>1st GROUP E</v>
      </c>
      <c r="C96" s="120" t="str">
        <f>IF(OR(SUM(WORLDCUP!$AN$38:$AN$41)=12,WORLDCUP!$AJ$99=144),WORLDCUP!AL38,B96)</f>
        <v>Germany</v>
      </c>
      <c r="D96" s="644"/>
      <c r="E96" s="139"/>
      <c r="F96" s="139"/>
      <c r="G96" s="139"/>
      <c r="H96" s="139"/>
      <c r="I96" s="150"/>
      <c r="J96" s="139"/>
      <c r="K96" s="139"/>
      <c r="L96" s="139"/>
      <c r="M96" s="148"/>
      <c r="N96" s="146"/>
    </row>
    <row r="97" spans="1:14" ht="15" customHeight="1">
      <c r="A97" s="641"/>
      <c r="B97" s="129" t="str">
        <f>Idiomas!D157</f>
        <v>2nd GROUP E</v>
      </c>
      <c r="C97" s="120" t="str">
        <f>IF(OR(SUM(WORLDCUP!$AN$38:$AN$41)=12,WORLDCUP!$AJ$99=144),WORLDCUP!AL39,B97)</f>
        <v>Ecuador</v>
      </c>
      <c r="D97" s="644"/>
      <c r="E97" s="139"/>
      <c r="F97" s="139"/>
      <c r="G97" s="139"/>
      <c r="H97" s="139"/>
      <c r="I97" s="150"/>
      <c r="J97" s="139"/>
      <c r="K97" s="139"/>
      <c r="L97" s="139"/>
      <c r="M97" s="148"/>
      <c r="N97" s="146"/>
    </row>
    <row r="98" spans="1:14" ht="15" customHeight="1">
      <c r="A98" s="641"/>
      <c r="B98" s="129" t="str">
        <f>Idiomas!D158</f>
        <v>3rd GROUP E</v>
      </c>
      <c r="C98" s="120" t="str">
        <f>IF(OR(SUM(WORLDCUP!$AN$38:$AN$41)=12,WORLDCUP!$AJ$99=144),WORLDCUP!AL40,B98)</f>
        <v>Curaçao</v>
      </c>
      <c r="D98" s="644"/>
      <c r="E98" s="139"/>
      <c r="F98" s="139"/>
      <c r="G98" s="139"/>
      <c r="H98" s="139"/>
      <c r="I98" s="150"/>
      <c r="J98" s="139"/>
      <c r="K98" s="139"/>
      <c r="L98" s="139"/>
      <c r="M98" s="148"/>
      <c r="N98" s="146"/>
    </row>
    <row r="99" spans="1:14" ht="15" customHeight="1">
      <c r="A99" s="641"/>
      <c r="B99" s="129" t="str">
        <f>Idiomas!D159</f>
        <v>4th GROUP E</v>
      </c>
      <c r="C99" s="120" t="str">
        <f>IF(OR(SUM(WORLDCUP!$AN$38:$AN$41)=12,WORLDCUP!$AJ$99=144),WORLDCUP!AL41,B99)</f>
        <v>Ivory Coast</v>
      </c>
      <c r="D99" s="644"/>
      <c r="E99" s="139"/>
      <c r="F99" s="139"/>
      <c r="G99" s="139"/>
      <c r="H99" s="139"/>
      <c r="I99" s="150"/>
      <c r="J99" s="139"/>
      <c r="K99" s="139"/>
      <c r="L99" s="139"/>
      <c r="M99" s="148"/>
      <c r="N99" s="146"/>
    </row>
    <row r="100" spans="1:14" ht="15" customHeight="1">
      <c r="A100" s="651" t="s">
        <v>116</v>
      </c>
      <c r="B100" s="127" t="str">
        <f>Idiomas!D160</f>
        <v>1st GROUP F</v>
      </c>
      <c r="C100" s="120" t="str">
        <f>IF(OR(SUM(WORLDCUP!$AN$46:$AN$49)=12,WORLDCUP!$AJ$99=144),WORLDCUP!AL46,B100)</f>
        <v>Netherlands</v>
      </c>
      <c r="D100" s="644"/>
      <c r="E100" s="139"/>
      <c r="F100" s="139"/>
      <c r="G100" s="139"/>
      <c r="H100" s="139"/>
      <c r="I100" s="150"/>
      <c r="J100" s="139"/>
      <c r="K100" s="139"/>
      <c r="L100" s="139"/>
      <c r="M100" s="148"/>
      <c r="N100" s="146"/>
    </row>
    <row r="101" spans="1:14" ht="15" customHeight="1">
      <c r="A101" s="641"/>
      <c r="B101" s="127" t="str">
        <f>Idiomas!D161</f>
        <v>2nd GROUP F</v>
      </c>
      <c r="C101" s="120" t="str">
        <f>IF(OR(SUM(WORLDCUP!$AN$46:$AN$49)=12,WORLDCUP!$AJ$99=144),WORLDCUP!AL47,B101)</f>
        <v>Sweden</v>
      </c>
      <c r="D101" s="644"/>
      <c r="E101" s="139"/>
      <c r="F101" s="139"/>
      <c r="G101" s="139"/>
      <c r="H101" s="139"/>
      <c r="I101" s="150"/>
      <c r="J101" s="139"/>
      <c r="K101" s="139"/>
      <c r="L101" s="139"/>
      <c r="M101" s="148"/>
      <c r="N101" s="146"/>
    </row>
    <row r="102" spans="1:14" ht="15" customHeight="1">
      <c r="A102" s="641"/>
      <c r="B102" s="127" t="str">
        <f>Idiomas!D162</f>
        <v>3rd GROUP F</v>
      </c>
      <c r="C102" s="120" t="str">
        <f>IF(OR(SUM(WORLDCUP!$AN$46:$AN$49)=12,WORLDCUP!$AJ$99=144),WORLDCUP!AL48,B102)</f>
        <v>Japan</v>
      </c>
      <c r="D102" s="644"/>
      <c r="E102" s="139"/>
      <c r="F102" s="139"/>
      <c r="G102" s="139"/>
      <c r="H102" s="139"/>
      <c r="I102" s="150"/>
      <c r="J102" s="139"/>
      <c r="K102" s="139"/>
      <c r="L102" s="139"/>
      <c r="M102" s="148"/>
      <c r="N102" s="146"/>
    </row>
    <row r="103" spans="1:14" ht="15" customHeight="1">
      <c r="A103" s="641"/>
      <c r="B103" s="127" t="str">
        <f>Idiomas!D163</f>
        <v>4th GROUP F</v>
      </c>
      <c r="C103" s="120" t="str">
        <f>IF(OR(SUM(WORLDCUP!$AN$46:$AN$49)=12,WORLDCUP!$AJ$99=144),WORLDCUP!AL49,B103)</f>
        <v>Tunisia</v>
      </c>
      <c r="D103" s="644"/>
      <c r="E103" s="139"/>
      <c r="F103" s="139"/>
      <c r="G103" s="139"/>
      <c r="H103" s="139"/>
      <c r="I103" s="150"/>
      <c r="J103" s="139"/>
      <c r="K103" s="139"/>
      <c r="L103" s="139"/>
      <c r="M103" s="148"/>
      <c r="N103" s="146"/>
    </row>
    <row r="104" spans="1:14" ht="15" customHeight="1">
      <c r="A104" s="657" t="s">
        <v>125</v>
      </c>
      <c r="B104" s="129" t="str">
        <f>Idiomas!D164</f>
        <v>1st GROUP G</v>
      </c>
      <c r="C104" s="120" t="str">
        <f>IF(OR(SUM(WORLDCUP!$AN$54:$AN$57)=12,WORLDCUP!$AJ$99=144),WORLDCUP!AL54,B104)</f>
        <v>Belgium</v>
      </c>
      <c r="D104" s="644"/>
      <c r="E104" s="139"/>
      <c r="F104" s="139"/>
      <c r="G104" s="139"/>
      <c r="H104" s="139"/>
      <c r="I104" s="150"/>
      <c r="J104" s="139"/>
      <c r="K104" s="139"/>
      <c r="L104" s="139"/>
      <c r="M104" s="148"/>
      <c r="N104" s="146"/>
    </row>
    <row r="105" spans="1:14" ht="15" customHeight="1">
      <c r="A105" s="641"/>
      <c r="B105" s="129" t="str">
        <f>Idiomas!D165</f>
        <v>2nd GROUP G</v>
      </c>
      <c r="C105" s="120" t="str">
        <f>IF(OR(SUM(WORLDCUP!$AN$54:$AN$57)=12,WORLDCUP!$AJ$99=144),WORLDCUP!AL55,B105)</f>
        <v>Iran</v>
      </c>
      <c r="D105" s="644"/>
      <c r="E105" s="139"/>
      <c r="F105" s="139"/>
      <c r="G105" s="139"/>
      <c r="H105" s="139"/>
      <c r="I105" s="150"/>
      <c r="J105" s="139"/>
      <c r="K105" s="139"/>
      <c r="L105" s="139"/>
      <c r="M105" s="148"/>
      <c r="N105" s="146"/>
    </row>
    <row r="106" spans="1:14" ht="15" customHeight="1">
      <c r="A106" s="641"/>
      <c r="B106" s="129" t="str">
        <f>Idiomas!D166</f>
        <v>3rd GROUP G</v>
      </c>
      <c r="C106" s="120" t="str">
        <f>IF(OR(SUM(WORLDCUP!$AN$54:$AN$57)=12,WORLDCUP!$AJ$99=144),WORLDCUP!AL56,B106)</f>
        <v>Egypt</v>
      </c>
      <c r="D106" s="644"/>
      <c r="E106" s="139"/>
      <c r="F106" s="139"/>
      <c r="G106" s="139"/>
      <c r="H106" s="139"/>
      <c r="I106" s="150"/>
      <c r="J106" s="139"/>
      <c r="K106" s="139"/>
      <c r="L106" s="139"/>
      <c r="M106" s="148"/>
      <c r="N106" s="146"/>
    </row>
    <row r="107" spans="1:14" ht="15" customHeight="1">
      <c r="A107" s="641"/>
      <c r="B107" s="129" t="str">
        <f>Idiomas!D167</f>
        <v>4th GROUP G</v>
      </c>
      <c r="C107" s="120" t="str">
        <f>IF(OR(SUM(WORLDCUP!$AN$54:$AN$57)=12,WORLDCUP!$AJ$99=144),WORLDCUP!AL57,B107)</f>
        <v>New Zealand</v>
      </c>
      <c r="D107" s="644"/>
      <c r="E107" s="139"/>
      <c r="F107" s="139"/>
      <c r="G107" s="139"/>
      <c r="H107" s="139"/>
      <c r="I107" s="150"/>
      <c r="J107" s="139"/>
      <c r="K107" s="139"/>
      <c r="L107" s="139"/>
      <c r="M107" s="148"/>
      <c r="N107" s="146"/>
    </row>
    <row r="108" spans="1:14" ht="15" customHeight="1">
      <c r="A108" s="651" t="s">
        <v>130</v>
      </c>
      <c r="B108" s="127" t="str">
        <f>Idiomas!D168</f>
        <v>1st GROUP H</v>
      </c>
      <c r="C108" s="120" t="str">
        <f>IF(OR(SUM(WORLDCUP!$AN$62:$AN$65)=12,WORLDCUP!$AJ$99=144),WORLDCUP!AL62,B108)</f>
        <v>Spain</v>
      </c>
      <c r="D108" s="644"/>
      <c r="E108" s="139"/>
      <c r="F108" s="139"/>
      <c r="G108" s="139"/>
      <c r="H108" s="139"/>
      <c r="I108" s="150"/>
      <c r="J108" s="139"/>
      <c r="K108" s="139"/>
      <c r="L108" s="139"/>
      <c r="M108" s="148"/>
      <c r="N108" s="146"/>
    </row>
    <row r="109" spans="1:14" ht="15" customHeight="1">
      <c r="A109" s="641"/>
      <c r="B109" s="127" t="str">
        <f>Idiomas!D169</f>
        <v>2nd GROUP H</v>
      </c>
      <c r="C109" s="120" t="str">
        <f>IF(OR(SUM(WORLDCUP!$AN$62:$AN$65)=12,WORLDCUP!$AJ$99=144),WORLDCUP!AL63,B109)</f>
        <v>Uruguay</v>
      </c>
      <c r="D109" s="644"/>
      <c r="E109" s="139"/>
      <c r="F109" s="139"/>
      <c r="G109" s="139"/>
      <c r="H109" s="139"/>
      <c r="I109" s="150"/>
      <c r="J109" s="139"/>
      <c r="K109" s="139"/>
      <c r="L109" s="139"/>
      <c r="M109" s="148"/>
      <c r="N109" s="146"/>
    </row>
    <row r="110" spans="1:14" ht="15" customHeight="1">
      <c r="A110" s="641"/>
      <c r="B110" s="127" t="str">
        <f>Idiomas!D170</f>
        <v>3rd GROUP H</v>
      </c>
      <c r="C110" s="120" t="str">
        <f>IF(OR(SUM(WORLDCUP!$AN$62:$AN$65)=12,WORLDCUP!$AJ$99=144),WORLDCUP!AL64,B110)</f>
        <v>Saudi Arabia</v>
      </c>
      <c r="D110" s="644"/>
      <c r="E110" s="139"/>
      <c r="F110" s="139"/>
      <c r="G110" s="139"/>
      <c r="H110" s="139"/>
      <c r="I110" s="150"/>
      <c r="J110" s="139"/>
      <c r="K110" s="139"/>
      <c r="L110" s="139"/>
      <c r="M110" s="148"/>
      <c r="N110" s="146"/>
    </row>
    <row r="111" spans="1:14" ht="15" customHeight="1">
      <c r="A111" s="641"/>
      <c r="B111" s="127" t="str">
        <f>Idiomas!D171</f>
        <v>4th GROUP H</v>
      </c>
      <c r="C111" s="120" t="str">
        <f>IF(OR(SUM(WORLDCUP!$AN$62:$AN$65)=12,WORLDCUP!$AJ$99=144),WORLDCUP!AL65,B111)</f>
        <v>Cape Verde</v>
      </c>
      <c r="D111" s="644"/>
      <c r="E111" s="139"/>
      <c r="F111" s="139"/>
      <c r="G111" s="139"/>
      <c r="H111" s="139"/>
      <c r="I111" s="150"/>
      <c r="J111" s="139"/>
      <c r="K111" s="139"/>
      <c r="L111" s="139"/>
      <c r="M111" s="148"/>
      <c r="N111" s="146"/>
    </row>
    <row r="112" spans="1:14" ht="15" customHeight="1">
      <c r="A112" s="657" t="s">
        <v>131</v>
      </c>
      <c r="B112" s="129" t="str">
        <f>Idiomas!D172</f>
        <v>1st GROUP I</v>
      </c>
      <c r="C112" s="120" t="str">
        <f>IF(OR(SUM(WORLDCUP!$AN$70:$AN$73)=12,WORLDCUP!$AJ$99=144),WORLDCUP!AL70,B112)</f>
        <v>France</v>
      </c>
      <c r="D112" s="644"/>
      <c r="E112" s="139"/>
      <c r="F112" s="139"/>
      <c r="G112" s="139"/>
      <c r="H112" s="139"/>
      <c r="I112" s="150"/>
      <c r="J112" s="139"/>
      <c r="K112" s="139"/>
      <c r="L112" s="139"/>
      <c r="M112" s="148"/>
      <c r="N112" s="146"/>
    </row>
    <row r="113" spans="1:14" ht="15" customHeight="1">
      <c r="A113" s="641"/>
      <c r="B113" s="129" t="str">
        <f>Idiomas!D173</f>
        <v>2nd GROUP I</v>
      </c>
      <c r="C113" s="120" t="str">
        <f>IF(OR(SUM(WORLDCUP!$AN$70:$AN$73)=12,WORLDCUP!$AJ$99=144),WORLDCUP!AL71,B113)</f>
        <v>Norway</v>
      </c>
      <c r="D113" s="644"/>
      <c r="E113" s="139"/>
      <c r="F113" s="139"/>
      <c r="G113" s="139"/>
      <c r="H113" s="139"/>
      <c r="I113" s="150"/>
      <c r="J113" s="139"/>
      <c r="K113" s="139"/>
      <c r="L113" s="139"/>
      <c r="M113" s="148"/>
      <c r="N113" s="146"/>
    </row>
    <row r="114" spans="1:14" ht="15" customHeight="1">
      <c r="A114" s="641"/>
      <c r="B114" s="129" t="str">
        <f>Idiomas!D174</f>
        <v>3rd GROUP I</v>
      </c>
      <c r="C114" s="120" t="str">
        <f>IF(OR(SUM(WORLDCUP!$AN$70:$AN$73)=12,WORLDCUP!$AJ$99=144),WORLDCUP!AL72,B114)</f>
        <v>Senegal</v>
      </c>
      <c r="D114" s="644"/>
      <c r="E114" s="139"/>
      <c r="F114" s="139"/>
      <c r="G114" s="139"/>
      <c r="H114" s="139"/>
      <c r="I114" s="150"/>
      <c r="J114" s="139"/>
      <c r="K114" s="139"/>
      <c r="L114" s="139"/>
      <c r="M114" s="148"/>
      <c r="N114" s="146"/>
    </row>
    <row r="115" spans="1:14" ht="15" customHeight="1">
      <c r="A115" s="641"/>
      <c r="B115" s="129" t="str">
        <f>Idiomas!D175</f>
        <v>4th GROUP I</v>
      </c>
      <c r="C115" s="120" t="str">
        <f>IF(OR(SUM(WORLDCUP!$AN$70:$AN$73)=12,WORLDCUP!$AJ$99=144),WORLDCUP!AL73,B115)</f>
        <v>Iraq</v>
      </c>
      <c r="D115" s="644"/>
      <c r="E115" s="139"/>
      <c r="F115" s="139"/>
      <c r="G115" s="139"/>
      <c r="H115" s="139"/>
      <c r="I115" s="150"/>
      <c r="J115" s="139"/>
      <c r="K115" s="139"/>
      <c r="L115" s="139"/>
      <c r="M115" s="148"/>
      <c r="N115" s="146"/>
    </row>
    <row r="116" spans="1:14" ht="15" customHeight="1">
      <c r="A116" s="651" t="s">
        <v>132</v>
      </c>
      <c r="B116" s="127" t="str">
        <f>Idiomas!D176</f>
        <v>1st GROUP J</v>
      </c>
      <c r="C116" s="120" t="str">
        <f>IF(OR(SUM(WORLDCUP!$AN$78:$AN$81)=12,WORLDCUP!$AJ$99=144),WORLDCUP!AL78,B116)</f>
        <v>Argentina</v>
      </c>
      <c r="D116" s="644"/>
      <c r="E116" s="139"/>
      <c r="F116" s="139"/>
      <c r="G116" s="139"/>
      <c r="H116" s="139"/>
      <c r="I116" s="150"/>
      <c r="J116" s="139"/>
      <c r="K116" s="139"/>
      <c r="L116" s="139"/>
      <c r="M116" s="148"/>
      <c r="N116" s="146"/>
    </row>
    <row r="117" spans="1:14" ht="15" customHeight="1">
      <c r="A117" s="641"/>
      <c r="B117" s="127" t="str">
        <f>Idiomas!D177</f>
        <v>2nd GROUP J</v>
      </c>
      <c r="C117" s="120" t="str">
        <f>IF(OR(SUM(WORLDCUP!$AN$78:$AN$81)=12,WORLDCUP!$AJ$99=144),WORLDCUP!AL79,B117)</f>
        <v>Austria</v>
      </c>
      <c r="D117" s="644"/>
      <c r="E117" s="139"/>
      <c r="F117" s="139"/>
      <c r="G117" s="139"/>
      <c r="H117" s="139"/>
      <c r="I117" s="150"/>
      <c r="J117" s="139"/>
      <c r="K117" s="139"/>
      <c r="L117" s="139"/>
      <c r="M117" s="148"/>
      <c r="N117" s="146"/>
    </row>
    <row r="118" spans="1:14" ht="15" customHeight="1">
      <c r="A118" s="641"/>
      <c r="B118" s="127" t="str">
        <f>Idiomas!D178</f>
        <v>3rd GROUP J</v>
      </c>
      <c r="C118" s="120" t="str">
        <f>IF(OR(SUM(WORLDCUP!$AN$78:$AN$81)=12,WORLDCUP!$AJ$99=144),WORLDCUP!AL80,B118)</f>
        <v>Jordan</v>
      </c>
      <c r="D118" s="644"/>
      <c r="E118" s="139"/>
      <c r="F118" s="139"/>
      <c r="G118" s="139"/>
      <c r="H118" s="139"/>
      <c r="I118" s="150"/>
      <c r="J118" s="139"/>
      <c r="K118" s="139"/>
      <c r="L118" s="139"/>
      <c r="M118" s="148"/>
      <c r="N118" s="146"/>
    </row>
    <row r="119" spans="1:14" ht="15" customHeight="1">
      <c r="A119" s="641"/>
      <c r="B119" s="127" t="str">
        <f>Idiomas!D179</f>
        <v>4th GROUP J</v>
      </c>
      <c r="C119" s="120" t="str">
        <f>IF(OR(SUM(WORLDCUP!$AN$78:$AN$81)=12,WORLDCUP!$AJ$99=144),WORLDCUP!AL81,B119)</f>
        <v>Algeria</v>
      </c>
      <c r="D119" s="644"/>
      <c r="E119" s="139"/>
      <c r="F119" s="139"/>
      <c r="G119" s="139"/>
      <c r="H119" s="139"/>
      <c r="I119" s="150"/>
      <c r="J119" s="139"/>
      <c r="K119" s="139"/>
      <c r="L119" s="139"/>
      <c r="M119" s="148"/>
      <c r="N119" s="146"/>
    </row>
    <row r="120" spans="1:14" ht="15" customHeight="1">
      <c r="A120" s="657" t="s">
        <v>133</v>
      </c>
      <c r="B120" s="129" t="str">
        <f>Idiomas!D180</f>
        <v>1st GROUP K</v>
      </c>
      <c r="C120" s="120" t="str">
        <f>IF(OR(SUM(WORLDCUP!$AN$86:$AN$89)=12,WORLDCUP!$AJ$99=144),WORLDCUP!AL86,B120)</f>
        <v>Portugal</v>
      </c>
      <c r="D120" s="644"/>
      <c r="E120" s="139"/>
      <c r="F120" s="139"/>
      <c r="G120" s="139"/>
      <c r="H120" s="139"/>
      <c r="I120" s="150"/>
      <c r="J120" s="139"/>
      <c r="K120" s="139"/>
      <c r="L120" s="139"/>
      <c r="M120" s="148"/>
      <c r="N120" s="146"/>
    </row>
    <row r="121" spans="1:14" ht="15" customHeight="1">
      <c r="A121" s="641"/>
      <c r="B121" s="129" t="str">
        <f>Idiomas!D181</f>
        <v>2nd GROUP K</v>
      </c>
      <c r="C121" s="120" t="str">
        <f>IF(OR(SUM(WORLDCUP!$AN$86:$AN$89)=12,WORLDCUP!$AJ$99=144),WORLDCUP!AL87,B121)</f>
        <v>Colombia</v>
      </c>
      <c r="D121" s="644"/>
      <c r="E121" s="139"/>
      <c r="F121" s="139"/>
      <c r="G121" s="139"/>
      <c r="H121" s="139"/>
      <c r="I121" s="150"/>
      <c r="J121" s="139"/>
      <c r="K121" s="139"/>
      <c r="L121" s="139"/>
      <c r="M121" s="148"/>
      <c r="N121" s="146"/>
    </row>
    <row r="122" spans="1:14" ht="15" customHeight="1">
      <c r="A122" s="641"/>
      <c r="B122" s="129" t="str">
        <f>Idiomas!D182</f>
        <v>3rd GROUP K</v>
      </c>
      <c r="C122" s="120" t="str">
        <f>IF(OR(SUM(WORLDCUP!$AN$86:$AN$89)=12,WORLDCUP!$AJ$99=144),WORLDCUP!AL88,B122)</f>
        <v>DR Congo</v>
      </c>
      <c r="D122" s="644"/>
      <c r="E122" s="139"/>
      <c r="F122" s="139"/>
      <c r="G122" s="139"/>
      <c r="H122" s="139"/>
      <c r="I122" s="150"/>
      <c r="J122" s="139"/>
      <c r="K122" s="139"/>
      <c r="L122" s="139"/>
      <c r="M122" s="148"/>
      <c r="N122" s="146"/>
    </row>
    <row r="123" spans="1:14" ht="15" customHeight="1">
      <c r="A123" s="641"/>
      <c r="B123" s="129" t="str">
        <f>Idiomas!D183</f>
        <v>4th GROUP K</v>
      </c>
      <c r="C123" s="120" t="str">
        <f>IF(OR(SUM(WORLDCUP!$AN$86:$AN$89)=12,WORLDCUP!$AJ$99=144),WORLDCUP!AL89,B123)</f>
        <v>Uzbekistan</v>
      </c>
      <c r="D123" s="644"/>
      <c r="E123" s="139"/>
      <c r="F123" s="139"/>
      <c r="G123" s="139"/>
      <c r="H123" s="139"/>
      <c r="I123" s="150"/>
      <c r="J123" s="139"/>
      <c r="K123" s="139"/>
      <c r="L123" s="139"/>
      <c r="M123" s="148"/>
      <c r="N123" s="146"/>
    </row>
    <row r="124" spans="1:14" ht="15" customHeight="1">
      <c r="A124" s="651" t="s">
        <v>134</v>
      </c>
      <c r="B124" s="127" t="str">
        <f>Idiomas!D184</f>
        <v>1st GROUP L</v>
      </c>
      <c r="C124" s="120" t="str">
        <f>IF(OR(SUM(WORLDCUP!$AN$94:$AN$97)=12,WORLDCUP!$AJ$99=144),WORLDCUP!AL94,B124)</f>
        <v>England</v>
      </c>
      <c r="D124" s="644"/>
      <c r="E124" s="139"/>
      <c r="F124" s="139"/>
      <c r="G124" s="139"/>
      <c r="H124" s="139"/>
      <c r="I124" s="150"/>
      <c r="J124" s="139"/>
      <c r="K124" s="139"/>
      <c r="L124" s="139"/>
      <c r="M124" s="148"/>
      <c r="N124" s="146"/>
    </row>
    <row r="125" spans="1:14" ht="15" customHeight="1">
      <c r="A125" s="641"/>
      <c r="B125" s="127" t="str">
        <f>Idiomas!D185</f>
        <v>2nd GROUP L</v>
      </c>
      <c r="C125" s="120" t="str">
        <f>IF(OR(SUM(WORLDCUP!$AN$94:$AN$97)=12,WORLDCUP!$AJ$99=144),WORLDCUP!AL95,B125)</f>
        <v>Croatia</v>
      </c>
      <c r="D125" s="644"/>
      <c r="E125" s="139"/>
      <c r="F125" s="139"/>
      <c r="G125" s="139"/>
      <c r="H125" s="139"/>
      <c r="I125" s="150"/>
      <c r="J125" s="139"/>
      <c r="K125" s="139"/>
      <c r="L125" s="139"/>
      <c r="M125" s="148"/>
      <c r="N125" s="146"/>
    </row>
    <row r="126" spans="1:14" ht="15" customHeight="1">
      <c r="A126" s="641"/>
      <c r="B126" s="127" t="str">
        <f>Idiomas!D186</f>
        <v>3rd GROUP L</v>
      </c>
      <c r="C126" s="120" t="str">
        <f>IF(OR(SUM(WORLDCUP!$AN$94:$AN$97)=12,WORLDCUP!$AJ$99=144),WORLDCUP!AL96,B126)</f>
        <v>Ghana</v>
      </c>
      <c r="D126" s="644"/>
      <c r="E126" s="139"/>
      <c r="F126" s="139"/>
      <c r="G126" s="139"/>
      <c r="H126" s="139"/>
      <c r="I126" s="150"/>
      <c r="J126" s="139"/>
      <c r="K126" s="139"/>
      <c r="L126" s="139"/>
      <c r="M126" s="148"/>
      <c r="N126" s="146"/>
    </row>
    <row r="127" spans="1:14" ht="15" customHeight="1">
      <c r="A127" s="641"/>
      <c r="B127" s="127" t="str">
        <f>Idiomas!D187</f>
        <v>4th GROUP L</v>
      </c>
      <c r="C127" s="120" t="str">
        <f>IF(OR(SUM(WORLDCUP!$AN$94:$AN$97)=12,WORLDCUP!$AJ$99=144),WORLDCUP!AL97,B127)</f>
        <v>Panama</v>
      </c>
      <c r="D127" s="644"/>
      <c r="E127" s="139"/>
      <c r="F127" s="139"/>
      <c r="G127" s="139"/>
      <c r="H127" s="139"/>
      <c r="I127" s="150"/>
      <c r="J127" s="139"/>
      <c r="K127" s="139"/>
      <c r="L127" s="139"/>
      <c r="M127" s="148"/>
      <c r="N127" s="146"/>
    </row>
    <row r="128" spans="1:14" ht="15" customHeight="1">
      <c r="A128" s="34"/>
      <c r="B128" s="34"/>
      <c r="C128" s="121"/>
      <c r="D128" s="644"/>
      <c r="E128" s="139"/>
      <c r="F128" s="139"/>
      <c r="G128" s="139"/>
      <c r="H128" s="139"/>
      <c r="I128" s="150"/>
      <c r="J128" s="139"/>
      <c r="K128" s="139"/>
      <c r="L128" s="139"/>
      <c r="M128" s="148"/>
      <c r="N128" s="146"/>
    </row>
    <row r="129" spans="1:14" ht="19.149999999999999" customHeight="1">
      <c r="A129" s="34"/>
      <c r="B129" s="128" t="str">
        <f>Idiomas!D127</f>
        <v>QUALIFIED FOR ROUND OF 32</v>
      </c>
      <c r="C129" s="121"/>
      <c r="D129" s="644"/>
      <c r="E129" s="139"/>
      <c r="F129" s="139"/>
      <c r="G129" s="139"/>
      <c r="H129" s="139"/>
      <c r="I129" s="150"/>
      <c r="J129" s="139"/>
      <c r="K129" s="139"/>
      <c r="L129" s="139"/>
      <c r="M129" s="148"/>
      <c r="N129" s="146"/>
    </row>
    <row r="130" spans="1:14" ht="15" customHeight="1">
      <c r="A130" s="645" t="s">
        <v>145</v>
      </c>
      <c r="B130" s="130" t="str">
        <f>Idiomas!$D$188</f>
        <v>16-Finalist</v>
      </c>
      <c r="C130" s="120" t="str">
        <f>WORLDCUP!AA101</f>
        <v>South Korea</v>
      </c>
      <c r="D130" s="644"/>
      <c r="E130" s="139"/>
      <c r="F130" s="139"/>
      <c r="G130" s="139"/>
      <c r="H130" s="139"/>
      <c r="I130" s="150"/>
      <c r="J130" s="139"/>
      <c r="K130" s="139"/>
      <c r="L130" s="139"/>
      <c r="M130" s="148"/>
      <c r="N130" s="146"/>
    </row>
    <row r="131" spans="1:14" ht="15" customHeight="1">
      <c r="A131" s="641"/>
      <c r="B131" s="130" t="str">
        <f t="shared" ref="B131:B145" si="0">B130</f>
        <v>16-Finalist</v>
      </c>
      <c r="C131" s="120" t="str">
        <f>WORLDCUP!AA102</f>
        <v>Brazil</v>
      </c>
      <c r="D131" s="644"/>
      <c r="E131" s="139"/>
      <c r="F131" s="139"/>
      <c r="G131" s="139"/>
      <c r="H131" s="139"/>
      <c r="I131" s="150"/>
      <c r="J131" s="139"/>
      <c r="K131" s="139"/>
      <c r="L131" s="139"/>
      <c r="M131" s="148"/>
      <c r="N131" s="146"/>
    </row>
    <row r="132" spans="1:14" ht="15" customHeight="1">
      <c r="A132" s="641"/>
      <c r="B132" s="130" t="str">
        <f t="shared" si="0"/>
        <v>16-Finalist</v>
      </c>
      <c r="C132" s="120" t="str">
        <f>WORLDCUP!AA103</f>
        <v>Germany</v>
      </c>
      <c r="D132" s="644"/>
      <c r="E132" s="139"/>
      <c r="F132" s="139"/>
      <c r="G132" s="139"/>
      <c r="H132" s="139"/>
      <c r="I132" s="150"/>
      <c r="J132" s="139"/>
      <c r="K132" s="139"/>
      <c r="L132" s="139"/>
      <c r="M132" s="148"/>
      <c r="N132" s="146"/>
    </row>
    <row r="133" spans="1:14" ht="15" customHeight="1">
      <c r="A133" s="641"/>
      <c r="B133" s="130" t="str">
        <f t="shared" si="0"/>
        <v>16-Finalist</v>
      </c>
      <c r="C133" s="120" t="str">
        <f>WORLDCUP!AA104</f>
        <v>Netherlands</v>
      </c>
      <c r="D133" s="644"/>
      <c r="E133" s="139"/>
      <c r="F133" s="139"/>
      <c r="G133" s="139"/>
      <c r="H133" s="139"/>
      <c r="I133" s="150"/>
      <c r="J133" s="139"/>
      <c r="K133" s="139"/>
      <c r="L133" s="139"/>
      <c r="M133" s="148"/>
      <c r="N133" s="146"/>
    </row>
    <row r="134" spans="1:14" ht="15" customHeight="1">
      <c r="A134" s="641"/>
      <c r="B134" s="130" t="str">
        <f t="shared" si="0"/>
        <v>16-Finalist</v>
      </c>
      <c r="C134" s="120" t="str">
        <f>WORLDCUP!AA105</f>
        <v>Ecuador</v>
      </c>
      <c r="D134" s="644"/>
      <c r="E134" s="139"/>
      <c r="F134" s="139"/>
      <c r="G134" s="139"/>
      <c r="H134" s="139"/>
      <c r="I134" s="150"/>
      <c r="J134" s="139"/>
      <c r="K134" s="139"/>
      <c r="L134" s="139"/>
      <c r="M134" s="148"/>
      <c r="N134" s="146"/>
    </row>
    <row r="135" spans="1:14" ht="15" customHeight="1">
      <c r="A135" s="641"/>
      <c r="B135" s="130" t="str">
        <f t="shared" si="0"/>
        <v>16-Finalist</v>
      </c>
      <c r="C135" s="120" t="str">
        <f>WORLDCUP!AA106</f>
        <v>France</v>
      </c>
      <c r="D135" s="644"/>
      <c r="E135" s="139"/>
      <c r="F135" s="139"/>
      <c r="G135" s="139"/>
      <c r="H135" s="139"/>
      <c r="I135" s="150"/>
      <c r="J135" s="139"/>
      <c r="K135" s="139"/>
      <c r="L135" s="139"/>
      <c r="M135" s="148"/>
      <c r="N135" s="146"/>
    </row>
    <row r="136" spans="1:14" ht="15" customHeight="1">
      <c r="A136" s="641"/>
      <c r="B136" s="130" t="str">
        <f t="shared" si="0"/>
        <v>16-Finalist</v>
      </c>
      <c r="C136" s="120" t="str">
        <f>WORLDCUP!AA107</f>
        <v>Czech Republic</v>
      </c>
      <c r="D136" s="644"/>
      <c r="E136" s="139"/>
      <c r="F136" s="139"/>
      <c r="G136" s="139"/>
      <c r="H136" s="139"/>
      <c r="I136" s="150"/>
      <c r="J136" s="139"/>
      <c r="K136" s="139"/>
      <c r="L136" s="139"/>
      <c r="M136" s="148"/>
      <c r="N136" s="146"/>
    </row>
    <row r="137" spans="1:14" ht="15" customHeight="1">
      <c r="A137" s="641"/>
      <c r="B137" s="130" t="str">
        <f t="shared" si="0"/>
        <v>16-Finalist</v>
      </c>
      <c r="C137" s="120" t="str">
        <f>WORLDCUP!AA108</f>
        <v>England</v>
      </c>
      <c r="D137" s="644"/>
      <c r="E137" s="139"/>
      <c r="F137" s="139"/>
      <c r="G137" s="139"/>
      <c r="H137" s="139"/>
      <c r="I137" s="150"/>
      <c r="J137" s="139"/>
      <c r="K137" s="139"/>
      <c r="L137" s="139"/>
      <c r="M137" s="148"/>
      <c r="N137" s="146"/>
    </row>
    <row r="138" spans="1:14" ht="15" customHeight="1">
      <c r="A138" s="641"/>
      <c r="B138" s="130" t="str">
        <f t="shared" si="0"/>
        <v>16-Finalist</v>
      </c>
      <c r="C138" s="120" t="str">
        <f>WORLDCUP!AA109</f>
        <v>Belgium</v>
      </c>
      <c r="D138" s="644"/>
      <c r="E138" s="139"/>
      <c r="F138" s="139"/>
      <c r="G138" s="139"/>
      <c r="H138" s="139"/>
      <c r="I138" s="150"/>
      <c r="J138" s="139"/>
      <c r="K138" s="139"/>
      <c r="L138" s="139"/>
      <c r="M138" s="148"/>
      <c r="N138" s="146"/>
    </row>
    <row r="139" spans="1:14" ht="15" customHeight="1">
      <c r="A139" s="641"/>
      <c r="B139" s="130" t="str">
        <f t="shared" si="0"/>
        <v>16-Finalist</v>
      </c>
      <c r="C139" s="120" t="str">
        <f>WORLDCUP!AA110</f>
        <v>Turkey</v>
      </c>
      <c r="D139" s="644"/>
      <c r="E139" s="139"/>
      <c r="F139" s="139"/>
      <c r="G139" s="139"/>
      <c r="H139" s="139"/>
      <c r="I139" s="150"/>
      <c r="J139" s="139"/>
      <c r="K139" s="139"/>
      <c r="L139" s="139"/>
      <c r="M139" s="148"/>
      <c r="N139" s="146"/>
    </row>
    <row r="140" spans="1:14" ht="15" customHeight="1">
      <c r="A140" s="641"/>
      <c r="B140" s="130" t="str">
        <f t="shared" si="0"/>
        <v>16-Finalist</v>
      </c>
      <c r="C140" s="120" t="str">
        <f>WORLDCUP!AA111</f>
        <v>Spain</v>
      </c>
      <c r="D140" s="644"/>
      <c r="E140" s="139"/>
      <c r="F140" s="139"/>
      <c r="G140" s="139"/>
      <c r="H140" s="139"/>
      <c r="I140" s="150"/>
      <c r="J140" s="139"/>
      <c r="K140" s="139"/>
      <c r="L140" s="139"/>
      <c r="M140" s="148"/>
      <c r="N140" s="146"/>
    </row>
    <row r="141" spans="1:14" ht="15" customHeight="1">
      <c r="A141" s="641"/>
      <c r="B141" s="130" t="str">
        <f t="shared" si="0"/>
        <v>16-Finalist</v>
      </c>
      <c r="C141" s="120" t="str">
        <f>WORLDCUP!AA112</f>
        <v>Colombia</v>
      </c>
      <c r="D141" s="644"/>
      <c r="E141" s="139"/>
      <c r="F141" s="139"/>
      <c r="G141" s="139"/>
      <c r="H141" s="139"/>
      <c r="I141" s="150"/>
      <c r="J141" s="139"/>
      <c r="K141" s="139"/>
      <c r="L141" s="139"/>
      <c r="M141" s="148"/>
      <c r="N141" s="146"/>
    </row>
    <row r="142" spans="1:14" ht="15" customHeight="1">
      <c r="A142" s="641"/>
      <c r="B142" s="130" t="str">
        <f t="shared" si="0"/>
        <v>16-Finalist</v>
      </c>
      <c r="C142" s="120" t="str">
        <f>WORLDCUP!AA113</f>
        <v>Switzerland</v>
      </c>
      <c r="D142" s="644"/>
      <c r="E142" s="139"/>
      <c r="F142" s="139"/>
      <c r="G142" s="139"/>
      <c r="H142" s="139"/>
      <c r="I142" s="150"/>
      <c r="J142" s="139"/>
      <c r="K142" s="139"/>
      <c r="L142" s="139"/>
      <c r="M142" s="148"/>
      <c r="N142" s="146"/>
    </row>
    <row r="143" spans="1:14" ht="15" customHeight="1">
      <c r="A143" s="641"/>
      <c r="B143" s="130" t="str">
        <f t="shared" si="0"/>
        <v>16-Finalist</v>
      </c>
      <c r="C143" s="120" t="str">
        <f>WORLDCUP!AA114</f>
        <v>United States</v>
      </c>
      <c r="D143" s="644"/>
      <c r="E143" s="139"/>
      <c r="F143" s="139"/>
      <c r="G143" s="139"/>
      <c r="H143" s="139"/>
      <c r="I143" s="150"/>
      <c r="J143" s="139"/>
      <c r="K143" s="139"/>
      <c r="L143" s="139"/>
      <c r="M143" s="148"/>
      <c r="N143" s="146"/>
    </row>
    <row r="144" spans="1:14" ht="15" customHeight="1">
      <c r="A144" s="641"/>
      <c r="B144" s="130" t="str">
        <f t="shared" si="0"/>
        <v>16-Finalist</v>
      </c>
      <c r="C144" s="120" t="str">
        <f>WORLDCUP!AA115</f>
        <v>Argentina</v>
      </c>
      <c r="D144" s="644"/>
      <c r="E144" s="139"/>
      <c r="F144" s="139"/>
      <c r="G144" s="139"/>
      <c r="H144" s="139"/>
      <c r="I144" s="150"/>
      <c r="J144" s="139"/>
      <c r="K144" s="139"/>
      <c r="L144" s="139"/>
      <c r="M144" s="148"/>
      <c r="N144" s="146"/>
    </row>
    <row r="145" spans="1:14" ht="15" customHeight="1">
      <c r="A145" s="641"/>
      <c r="B145" s="130" t="str">
        <f t="shared" si="0"/>
        <v>16-Finalist</v>
      </c>
      <c r="C145" s="120" t="str">
        <f>WORLDCUP!AA116</f>
        <v>Portugal</v>
      </c>
      <c r="D145" s="644"/>
      <c r="E145" s="139"/>
      <c r="F145" s="139"/>
      <c r="G145" s="139"/>
      <c r="H145" s="139"/>
      <c r="I145" s="150"/>
      <c r="J145" s="139"/>
      <c r="K145" s="139"/>
      <c r="L145" s="139"/>
      <c r="M145" s="148"/>
      <c r="N145" s="146"/>
    </row>
    <row r="146" spans="1:14" ht="15" customHeight="1">
      <c r="A146" s="641"/>
      <c r="B146" s="130" t="str">
        <f>Idiomas!$D$188</f>
        <v>16-Finalist</v>
      </c>
      <c r="C146" s="120" t="str">
        <f>WORLDCUP!AF101</f>
        <v>Canada</v>
      </c>
      <c r="D146" s="644"/>
      <c r="E146" s="139"/>
      <c r="F146" s="139"/>
      <c r="G146" s="139"/>
      <c r="H146" s="139"/>
      <c r="I146" s="150"/>
      <c r="J146" s="139"/>
      <c r="K146" s="139"/>
      <c r="L146" s="139"/>
      <c r="M146" s="148"/>
      <c r="N146" s="146"/>
    </row>
    <row r="147" spans="1:14" ht="15" customHeight="1">
      <c r="A147" s="641"/>
      <c r="B147" s="130" t="str">
        <f t="shared" ref="B147:B161" si="1">B146</f>
        <v>16-Finalist</v>
      </c>
      <c r="C147" s="120" t="str">
        <f>WORLDCUP!AF102</f>
        <v>Sweden</v>
      </c>
      <c r="D147" s="644"/>
      <c r="E147" s="139"/>
      <c r="F147" s="139"/>
      <c r="G147" s="139"/>
      <c r="H147" s="139"/>
      <c r="I147" s="150"/>
      <c r="J147" s="139"/>
      <c r="K147" s="139"/>
      <c r="L147" s="139"/>
      <c r="M147" s="148"/>
      <c r="N147" s="146"/>
    </row>
    <row r="148" spans="1:14" ht="15" customHeight="1">
      <c r="A148" s="641"/>
      <c r="B148" s="130" t="str">
        <f t="shared" si="1"/>
        <v>16-Finalist</v>
      </c>
      <c r="C148" s="120" t="str">
        <f>WORLDCUP!AF103</f>
        <v>Paraguay</v>
      </c>
      <c r="D148" s="644"/>
      <c r="E148" s="139"/>
      <c r="F148" s="139"/>
      <c r="G148" s="139"/>
      <c r="H148" s="139"/>
      <c r="I148" s="150"/>
      <c r="J148" s="139"/>
      <c r="K148" s="139"/>
      <c r="L148" s="139"/>
      <c r="M148" s="148"/>
      <c r="N148" s="146"/>
    </row>
    <row r="149" spans="1:14" ht="15" customHeight="1">
      <c r="A149" s="641"/>
      <c r="B149" s="130" t="str">
        <f t="shared" si="1"/>
        <v>16-Finalist</v>
      </c>
      <c r="C149" s="120" t="str">
        <f>WORLDCUP!AF104</f>
        <v>Morocco</v>
      </c>
      <c r="D149" s="644"/>
      <c r="E149" s="139"/>
      <c r="F149" s="139"/>
      <c r="G149" s="139"/>
      <c r="H149" s="139"/>
      <c r="I149" s="150"/>
      <c r="J149" s="139"/>
      <c r="K149" s="139"/>
      <c r="L149" s="139"/>
      <c r="M149" s="148"/>
      <c r="N149" s="146"/>
    </row>
    <row r="150" spans="1:14" ht="15" customHeight="1">
      <c r="A150" s="641"/>
      <c r="B150" s="130" t="str">
        <f t="shared" si="1"/>
        <v>16-Finalist</v>
      </c>
      <c r="C150" s="120" t="str">
        <f>WORLDCUP!AF105</f>
        <v>Norway</v>
      </c>
      <c r="D150" s="644"/>
      <c r="E150" s="139"/>
      <c r="F150" s="139"/>
      <c r="G150" s="139"/>
      <c r="H150" s="139"/>
      <c r="I150" s="150"/>
      <c r="J150" s="139"/>
      <c r="K150" s="139"/>
      <c r="L150" s="139"/>
      <c r="M150" s="148"/>
      <c r="N150" s="146"/>
    </row>
    <row r="151" spans="1:14" ht="15" customHeight="1">
      <c r="A151" s="641"/>
      <c r="B151" s="130" t="str">
        <f t="shared" si="1"/>
        <v>16-Finalist</v>
      </c>
      <c r="C151" s="120" t="str">
        <f>WORLDCUP!AF106</f>
        <v>Japan</v>
      </c>
      <c r="D151" s="644"/>
      <c r="E151" s="139"/>
      <c r="F151" s="139"/>
      <c r="G151" s="139"/>
      <c r="H151" s="139"/>
      <c r="I151" s="150"/>
      <c r="J151" s="139"/>
      <c r="K151" s="139"/>
      <c r="L151" s="139"/>
      <c r="M151" s="148"/>
      <c r="N151" s="146"/>
    </row>
    <row r="152" spans="1:14" ht="15" customHeight="1">
      <c r="A152" s="641"/>
      <c r="B152" s="130" t="str">
        <f t="shared" si="1"/>
        <v>16-Finalist</v>
      </c>
      <c r="C152" s="120" t="str">
        <f>WORLDCUP!AF107</f>
        <v>Scotland</v>
      </c>
      <c r="D152" s="644"/>
      <c r="E152" s="139"/>
      <c r="F152" s="139"/>
      <c r="G152" s="139"/>
      <c r="H152" s="139"/>
      <c r="I152" s="150"/>
      <c r="J152" s="139"/>
      <c r="K152" s="139"/>
      <c r="L152" s="139"/>
      <c r="M152" s="148"/>
      <c r="N152" s="146"/>
    </row>
    <row r="153" spans="1:14" ht="15" customHeight="1">
      <c r="A153" s="641"/>
      <c r="B153" s="130" t="str">
        <f t="shared" si="1"/>
        <v>16-Finalist</v>
      </c>
      <c r="C153" s="120" t="str">
        <f>WORLDCUP!AF108</f>
        <v>Senegal</v>
      </c>
      <c r="D153" s="644"/>
      <c r="E153" s="139"/>
      <c r="F153" s="139"/>
      <c r="G153" s="139"/>
      <c r="H153" s="139"/>
      <c r="I153" s="150"/>
      <c r="J153" s="139"/>
      <c r="K153" s="139"/>
      <c r="L153" s="139"/>
      <c r="M153" s="148"/>
      <c r="N153" s="146"/>
    </row>
    <row r="154" spans="1:14" ht="15" customHeight="1">
      <c r="A154" s="641"/>
      <c r="B154" s="130" t="str">
        <f t="shared" si="1"/>
        <v>16-Finalist</v>
      </c>
      <c r="C154" s="120" t="str">
        <f>WORLDCUP!AF109</f>
        <v>Mexico</v>
      </c>
      <c r="D154" s="644"/>
      <c r="E154" s="139"/>
      <c r="F154" s="139"/>
      <c r="G154" s="139"/>
      <c r="H154" s="139"/>
      <c r="I154" s="150"/>
      <c r="J154" s="139"/>
      <c r="K154" s="139"/>
      <c r="L154" s="139"/>
      <c r="M154" s="148"/>
      <c r="N154" s="146"/>
    </row>
    <row r="155" spans="1:14" ht="15" customHeight="1">
      <c r="A155" s="641"/>
      <c r="B155" s="130" t="str">
        <f t="shared" si="1"/>
        <v>16-Finalist</v>
      </c>
      <c r="C155" s="120" t="str">
        <f>WORLDCUP!AF110</f>
        <v>Bosnia and Herzegovina</v>
      </c>
      <c r="D155" s="644"/>
      <c r="E155" s="139"/>
      <c r="F155" s="139"/>
      <c r="G155" s="139"/>
      <c r="H155" s="139"/>
      <c r="I155" s="150"/>
      <c r="J155" s="139"/>
      <c r="K155" s="139"/>
      <c r="L155" s="139"/>
      <c r="M155" s="148"/>
      <c r="N155" s="146"/>
    </row>
    <row r="156" spans="1:14" ht="15" customHeight="1">
      <c r="A156" s="641"/>
      <c r="B156" s="130" t="str">
        <f t="shared" si="1"/>
        <v>16-Finalist</v>
      </c>
      <c r="C156" s="120" t="str">
        <f>WORLDCUP!AF111</f>
        <v>Austria</v>
      </c>
      <c r="D156" s="644"/>
      <c r="E156" s="139"/>
      <c r="F156" s="139"/>
      <c r="G156" s="139"/>
      <c r="H156" s="139"/>
      <c r="I156" s="150"/>
      <c r="J156" s="139"/>
      <c r="K156" s="139"/>
      <c r="L156" s="139"/>
      <c r="M156" s="148"/>
      <c r="N156" s="146"/>
    </row>
    <row r="157" spans="1:14" ht="15" customHeight="1">
      <c r="A157" s="641"/>
      <c r="B157" s="130" t="str">
        <f t="shared" si="1"/>
        <v>16-Finalist</v>
      </c>
      <c r="C157" s="120" t="str">
        <f>WORLDCUP!AF112</f>
        <v>Croatia</v>
      </c>
      <c r="D157" s="644"/>
      <c r="E157" s="139"/>
      <c r="F157" s="139"/>
      <c r="G157" s="139"/>
      <c r="H157" s="139"/>
      <c r="I157" s="150"/>
      <c r="J157" s="139"/>
      <c r="K157" s="139"/>
      <c r="L157" s="139"/>
      <c r="M157" s="148"/>
      <c r="N157" s="146"/>
    </row>
    <row r="158" spans="1:14" ht="15" customHeight="1">
      <c r="A158" s="641"/>
      <c r="B158" s="130" t="str">
        <f t="shared" si="1"/>
        <v>16-Finalist</v>
      </c>
      <c r="C158" s="120" t="str">
        <f>WORLDCUP!AF113</f>
        <v>Egypt</v>
      </c>
      <c r="D158" s="644"/>
      <c r="E158" s="139"/>
      <c r="F158" s="139"/>
      <c r="G158" s="139"/>
      <c r="H158" s="139"/>
      <c r="I158" s="150"/>
      <c r="J158" s="139"/>
      <c r="K158" s="139"/>
      <c r="L158" s="139"/>
      <c r="M158" s="148"/>
      <c r="N158" s="146"/>
    </row>
    <row r="159" spans="1:14" ht="15" customHeight="1">
      <c r="A159" s="641"/>
      <c r="B159" s="130" t="str">
        <f t="shared" si="1"/>
        <v>16-Finalist</v>
      </c>
      <c r="C159" s="120" t="str">
        <f>WORLDCUP!AF114</f>
        <v>Iran</v>
      </c>
      <c r="D159" s="644"/>
      <c r="E159" s="139"/>
      <c r="F159" s="139"/>
      <c r="G159" s="139"/>
      <c r="H159" s="139"/>
      <c r="I159" s="150"/>
      <c r="J159" s="139"/>
      <c r="K159" s="139"/>
      <c r="L159" s="139"/>
      <c r="M159" s="148"/>
      <c r="N159" s="146"/>
    </row>
    <row r="160" spans="1:14" ht="15" customHeight="1">
      <c r="A160" s="641"/>
      <c r="B160" s="130" t="str">
        <f t="shared" si="1"/>
        <v>16-Finalist</v>
      </c>
      <c r="C160" s="120" t="str">
        <f>WORLDCUP!AF115</f>
        <v>Uruguay</v>
      </c>
      <c r="D160" s="644"/>
      <c r="E160" s="139"/>
      <c r="F160" s="139"/>
      <c r="G160" s="139"/>
      <c r="H160" s="139"/>
      <c r="I160" s="150"/>
      <c r="J160" s="139"/>
      <c r="K160" s="139"/>
      <c r="L160" s="139"/>
      <c r="M160" s="148"/>
      <c r="N160" s="146"/>
    </row>
    <row r="161" spans="1:14" ht="15" customHeight="1">
      <c r="A161" s="641"/>
      <c r="B161" s="130" t="str">
        <f t="shared" si="1"/>
        <v>16-Finalist</v>
      </c>
      <c r="C161" s="120" t="str">
        <f>WORLDCUP!AF116</f>
        <v>Ghana</v>
      </c>
      <c r="D161" s="647"/>
      <c r="E161" s="141"/>
      <c r="F161" s="141"/>
      <c r="G161" s="141"/>
      <c r="H161" s="141"/>
      <c r="I161" s="151"/>
      <c r="J161" s="152"/>
      <c r="K161" s="141"/>
      <c r="L161" s="141"/>
      <c r="M161" s="153"/>
      <c r="N161" s="146"/>
    </row>
    <row r="162" spans="1:14" ht="19.899999999999999" customHeight="1">
      <c r="A162" s="34"/>
      <c r="B162" s="34"/>
      <c r="C162" s="121"/>
      <c r="D162" s="139"/>
      <c r="E162" s="667" t="str">
        <f>Idiomas!D113</f>
        <v>·If you play the KO rounds at once copy from C164 to C252 and paste in the Administrator template.</v>
      </c>
      <c r="F162" s="647"/>
      <c r="G162" s="647"/>
      <c r="H162" s="647"/>
      <c r="I162" s="647"/>
      <c r="J162" s="647"/>
      <c r="K162" s="647"/>
      <c r="L162" s="668"/>
      <c r="M162" s="154"/>
      <c r="N162" s="146"/>
    </row>
    <row r="163" spans="1:14" ht="22.9" customHeight="1">
      <c r="A163" s="34"/>
      <c r="B163" s="128" t="str">
        <f>Idiomas!D128</f>
        <v>ROUND OF 32</v>
      </c>
      <c r="C163" s="121"/>
      <c r="D163" s="139"/>
      <c r="E163" s="664" t="str">
        <f>Idiomas!D114</f>
        <v>·If you play de KO phase, round by round, follow the instructions of every KO round.</v>
      </c>
      <c r="F163" s="661"/>
      <c r="G163" s="661"/>
      <c r="H163" s="661"/>
      <c r="I163" s="661"/>
      <c r="J163" s="661"/>
      <c r="K163" s="661"/>
      <c r="L163" s="665"/>
      <c r="M163" s="155"/>
      <c r="N163" s="146"/>
    </row>
    <row r="164" spans="1:14" ht="15" customHeight="1">
      <c r="A164" s="645" t="s">
        <v>145</v>
      </c>
      <c r="B164" s="130" t="str">
        <f>CONCATENATE(WORLDCUP!AA101,"-",WORLDCUP!AF101)</f>
        <v>South Korea-Canada</v>
      </c>
      <c r="C164" s="120" t="str">
        <f>CONCATENATE(WORLDCUP!AA101,"-",WORLDCUP!AF101,"·",IF(WORLDCUP!AC101&gt;WORLDCUP!AD101,1,IF(WORLDCUP!AC101&lt;WORLDCUP!AD101,2,IF(AND(WORLDCUP!AC101=WORLDCUP!AD101,WORLDCUP!AC101&lt;&gt;"",WORLDCUP!AD101&lt;&gt;""),"X",0))),"|",WORLDCUP!AC101,"-",WORLDCUP!AD101)</f>
        <v>South Korea-Canada·1|3-1</v>
      </c>
      <c r="D164" s="649" t="s">
        <v>145</v>
      </c>
      <c r="E164" s="642" t="str">
        <f>Idiomas!D115</f>
        <v>·For de round of 32 matches, copy from C164 to C197 and paste in the administrator template in "Paste Values Round of 32"</v>
      </c>
      <c r="F164" s="643"/>
      <c r="G164" s="643"/>
      <c r="H164" s="643"/>
      <c r="I164" s="123"/>
      <c r="J164" s="139"/>
      <c r="K164" s="139"/>
      <c r="L164" s="139"/>
      <c r="M164" s="155"/>
      <c r="N164" s="146"/>
    </row>
    <row r="165" spans="1:14" ht="15" customHeight="1">
      <c r="A165" s="641"/>
      <c r="B165" s="130" t="str">
        <f>CONCATENATE(WORLDCUP!AA102,"-",WORLDCUP!AF102)</f>
        <v>Brazil-Sweden</v>
      </c>
      <c r="C165" s="120" t="str">
        <f>CONCATENATE(WORLDCUP!AA102,"-",WORLDCUP!AF102,"·",IF(WORLDCUP!AC102&gt;WORLDCUP!AD102,1,IF(WORLDCUP!AC102&lt;WORLDCUP!AD102,2,IF(AND(WORLDCUP!AC102=WORLDCUP!AD102,WORLDCUP!AC102&lt;&gt;"",WORLDCUP!AD102&lt;&gt;""),"X",0))),"|",WORLDCUP!AC102,"-",WORLDCUP!AD102)</f>
        <v>Brazil-Sweden·1|2-0</v>
      </c>
      <c r="D165" s="641"/>
      <c r="E165" s="644"/>
      <c r="F165" s="644"/>
      <c r="G165" s="644"/>
      <c r="H165" s="644"/>
      <c r="I165" s="123"/>
      <c r="J165" s="139"/>
      <c r="K165" s="139"/>
      <c r="L165" s="139"/>
      <c r="M165" s="155"/>
      <c r="N165" s="146"/>
    </row>
    <row r="166" spans="1:14" ht="15" customHeight="1">
      <c r="A166" s="641"/>
      <c r="B166" s="130" t="str">
        <f>CONCATENATE(WORLDCUP!AA103,"-",WORLDCUP!AF103)</f>
        <v>Germany-Paraguay</v>
      </c>
      <c r="C166" s="120" t="str">
        <f>CONCATENATE(WORLDCUP!AA103,"-",WORLDCUP!AF103,"·",IF(WORLDCUP!AC103&gt;WORLDCUP!AD103,1,IF(WORLDCUP!AC103&lt;WORLDCUP!AD103,2,IF(AND(WORLDCUP!AC103=WORLDCUP!AD103,WORLDCUP!AC103&lt;&gt;"",WORLDCUP!AD103&lt;&gt;""),"X",0))),"|",WORLDCUP!AC103,"-",WORLDCUP!AD103)</f>
        <v>Germany-Paraguay·1|4-1</v>
      </c>
      <c r="D166" s="641"/>
      <c r="E166" s="644"/>
      <c r="F166" s="644"/>
      <c r="G166" s="644"/>
      <c r="H166" s="644"/>
      <c r="I166" s="123"/>
      <c r="J166" s="139"/>
      <c r="K166" s="139"/>
      <c r="L166" s="139"/>
      <c r="M166" s="155"/>
      <c r="N166" s="146"/>
    </row>
    <row r="167" spans="1:14" ht="15" customHeight="1">
      <c r="A167" s="641"/>
      <c r="B167" s="130" t="str">
        <f>CONCATENATE(WORLDCUP!AA104,"-",WORLDCUP!AF104)</f>
        <v>Netherlands-Morocco</v>
      </c>
      <c r="C167" s="120" t="str">
        <f>CONCATENATE(WORLDCUP!AA104,"-",WORLDCUP!AF104,"·",IF(WORLDCUP!AC104&gt;WORLDCUP!AD104,1,IF(WORLDCUP!AC104&lt;WORLDCUP!AD104,2,IF(AND(WORLDCUP!AC104=WORLDCUP!AD104,WORLDCUP!AC104&lt;&gt;"",WORLDCUP!AD104&lt;&gt;""),"X",0))),"|",WORLDCUP!AC104,"-",WORLDCUP!AD104)</f>
        <v>Netherlands-Morocco·1|3-2</v>
      </c>
      <c r="D167" s="641"/>
      <c r="E167" s="644"/>
      <c r="F167" s="644"/>
      <c r="G167" s="644"/>
      <c r="H167" s="644"/>
      <c r="I167" s="123"/>
      <c r="J167" s="139"/>
      <c r="K167" s="139"/>
      <c r="L167" s="139"/>
      <c r="M167" s="155"/>
      <c r="N167" s="146"/>
    </row>
    <row r="168" spans="1:14" ht="15" customHeight="1">
      <c r="A168" s="641"/>
      <c r="B168" s="130" t="str">
        <f>CONCATENATE(WORLDCUP!AA105,"-",WORLDCUP!AF105)</f>
        <v>Ecuador-Norway</v>
      </c>
      <c r="C168" s="120" t="str">
        <f>CONCATENATE(WORLDCUP!AA105,"-",WORLDCUP!AF105,"·",IF(WORLDCUP!AC105&gt;WORLDCUP!AD105,1,IF(WORLDCUP!AC105&lt;WORLDCUP!AD105,2,IF(AND(WORLDCUP!AC105=WORLDCUP!AD105,WORLDCUP!AC105&lt;&gt;"",WORLDCUP!AD105&lt;&gt;""),"X",0))),"|",WORLDCUP!AC105,"-",WORLDCUP!AD105)</f>
        <v>Ecuador-Norway·2|0-2</v>
      </c>
      <c r="D168" s="641"/>
      <c r="E168" s="139"/>
      <c r="F168" s="139"/>
      <c r="G168" s="139"/>
      <c r="H168" s="139"/>
      <c r="I168" s="123"/>
      <c r="J168" s="139"/>
      <c r="K168" s="139"/>
      <c r="L168" s="139"/>
      <c r="M168" s="155"/>
      <c r="N168" s="146"/>
    </row>
    <row r="169" spans="1:14" ht="15" customHeight="1">
      <c r="A169" s="641"/>
      <c r="B169" s="130" t="str">
        <f>CONCATENATE(WORLDCUP!AA106,"-",WORLDCUP!AF106)</f>
        <v>France-Japan</v>
      </c>
      <c r="C169" s="120" t="str">
        <f>CONCATENATE(WORLDCUP!AA106,"-",WORLDCUP!AF106,"·",IF(WORLDCUP!AC106&gt;WORLDCUP!AD106,1,IF(WORLDCUP!AC106&lt;WORLDCUP!AD106,2,IF(AND(WORLDCUP!AC106=WORLDCUP!AD106,WORLDCUP!AC106&lt;&gt;"",WORLDCUP!AD106&lt;&gt;""),"X",0))),"|",WORLDCUP!AC106,"-",WORLDCUP!AD106)</f>
        <v>France-Japan·1|4-1</v>
      </c>
      <c r="D169" s="641"/>
      <c r="E169" s="139"/>
      <c r="F169" s="139"/>
      <c r="G169" s="139"/>
      <c r="H169" s="139"/>
      <c r="I169" s="123"/>
      <c r="J169" s="139"/>
      <c r="K169" s="139"/>
      <c r="L169" s="139"/>
      <c r="M169" s="155"/>
      <c r="N169" s="146"/>
    </row>
    <row r="170" spans="1:14" ht="15" customHeight="1">
      <c r="A170" s="641"/>
      <c r="B170" s="130" t="str">
        <f>CONCATENATE(WORLDCUP!AA107,"-",WORLDCUP!AF107)</f>
        <v>Czech Republic-Scotland</v>
      </c>
      <c r="C170" s="120" t="str">
        <f>CONCATENATE(WORLDCUP!AA107,"-",WORLDCUP!AF107,"·",IF(WORLDCUP!AC107&gt;WORLDCUP!AD107,1,IF(WORLDCUP!AC107&lt;WORLDCUP!AD107,2,IF(AND(WORLDCUP!AC107=WORLDCUP!AD107,WORLDCUP!AC107&lt;&gt;"",WORLDCUP!AD107&lt;&gt;""),"X",0))),"|",WORLDCUP!AC107,"-",WORLDCUP!AD107)</f>
        <v>Czech Republic-Scotland·1|2-1</v>
      </c>
      <c r="D170" s="641"/>
      <c r="E170" s="139"/>
      <c r="F170" s="139"/>
      <c r="G170" s="139"/>
      <c r="H170" s="139"/>
      <c r="I170" s="123"/>
      <c r="J170" s="139"/>
      <c r="K170" s="139"/>
      <c r="L170" s="139"/>
      <c r="M170" s="155"/>
      <c r="N170" s="146"/>
    </row>
    <row r="171" spans="1:14" ht="15" customHeight="1">
      <c r="A171" s="641"/>
      <c r="B171" s="130" t="str">
        <f>CONCATENATE(WORLDCUP!AA108,"-",WORLDCUP!AF108)</f>
        <v>England-Senegal</v>
      </c>
      <c r="C171" s="120" t="str">
        <f>CONCATENATE(WORLDCUP!AA108,"-",WORLDCUP!AF108,"·",IF(WORLDCUP!AC108&gt;WORLDCUP!AD108,1,IF(WORLDCUP!AC108&lt;WORLDCUP!AD108,2,IF(AND(WORLDCUP!AC108=WORLDCUP!AD108,WORLDCUP!AC108&lt;&gt;"",WORLDCUP!AD108&lt;&gt;""),"X",0))),"|",WORLDCUP!AC108,"-",WORLDCUP!AD108)</f>
        <v>England-Senegal·1|3-0</v>
      </c>
      <c r="D171" s="641"/>
      <c r="E171" s="139"/>
      <c r="F171" s="139"/>
      <c r="G171" s="139"/>
      <c r="H171" s="139"/>
      <c r="I171" s="123"/>
      <c r="J171" s="139"/>
      <c r="K171" s="139"/>
      <c r="L171" s="139"/>
      <c r="M171" s="155"/>
      <c r="N171" s="146"/>
    </row>
    <row r="172" spans="1:14" ht="15" customHeight="1">
      <c r="A172" s="641"/>
      <c r="B172" s="130" t="str">
        <f>CONCATENATE(WORLDCUP!AA109,"-",WORLDCUP!AF109)</f>
        <v>Belgium-Mexico</v>
      </c>
      <c r="C172" s="120" t="str">
        <f>CONCATENATE(WORLDCUP!AA109,"-",WORLDCUP!AF109,"·",IF(WORLDCUP!AC109&gt;WORLDCUP!AD109,1,IF(WORLDCUP!AC109&lt;WORLDCUP!AD109,2,IF(AND(WORLDCUP!AC109=WORLDCUP!AD109,WORLDCUP!AC109&lt;&gt;"",WORLDCUP!AD109&lt;&gt;""),"X",0))),"|",WORLDCUP!AC109,"-",WORLDCUP!AD109)</f>
        <v>Belgium-Mexico·1|2-1</v>
      </c>
      <c r="D172" s="641"/>
      <c r="E172" s="139"/>
      <c r="F172" s="139"/>
      <c r="G172" s="139"/>
      <c r="H172" s="139"/>
      <c r="I172" s="123"/>
      <c r="J172" s="139"/>
      <c r="K172" s="139"/>
      <c r="L172" s="139"/>
      <c r="M172" s="155"/>
      <c r="N172" s="146"/>
    </row>
    <row r="173" spans="1:14" ht="15" customHeight="1">
      <c r="A173" s="641"/>
      <c r="B173" s="130" t="str">
        <f>CONCATENATE(WORLDCUP!AA110,"-",WORLDCUP!AF110)</f>
        <v>Turkey-Bosnia and Herzegovina</v>
      </c>
      <c r="C173" s="120" t="str">
        <f>CONCATENATE(WORLDCUP!AA110,"-",WORLDCUP!AF110,"·",IF(WORLDCUP!AC110&gt;WORLDCUP!AD110,1,IF(WORLDCUP!AC110&lt;WORLDCUP!AD110,2,IF(AND(WORLDCUP!AC110=WORLDCUP!AD110,WORLDCUP!AC110&lt;&gt;"",WORLDCUP!AD110&lt;&gt;""),"X",0))),"|",WORLDCUP!AC110,"-",WORLDCUP!AD110)</f>
        <v>Turkey-Bosnia and Herzegovina·1|2-0</v>
      </c>
      <c r="D173" s="641"/>
      <c r="E173" s="139"/>
      <c r="F173" s="139"/>
      <c r="G173" s="139"/>
      <c r="H173" s="139"/>
      <c r="I173" s="123"/>
      <c r="J173" s="139"/>
      <c r="K173" s="139"/>
      <c r="L173" s="139"/>
      <c r="M173" s="155"/>
      <c r="N173" s="146"/>
    </row>
    <row r="174" spans="1:14" ht="15" customHeight="1">
      <c r="A174" s="641"/>
      <c r="B174" s="130" t="str">
        <f>CONCATENATE(WORLDCUP!AA111,"-",WORLDCUP!AF111)</f>
        <v>Spain-Austria</v>
      </c>
      <c r="C174" s="120" t="str">
        <f>CONCATENATE(WORLDCUP!AA111,"-",WORLDCUP!AF111,"·",IF(WORLDCUP!AC111&gt;WORLDCUP!AD111,1,IF(WORLDCUP!AC111&lt;WORLDCUP!AD111,2,IF(AND(WORLDCUP!AC111=WORLDCUP!AD111,WORLDCUP!AC111&lt;&gt;"",WORLDCUP!AD111&lt;&gt;""),"X",0))),"|",WORLDCUP!AC111,"-",WORLDCUP!AD111)</f>
        <v>Spain-Austria·1|3-1</v>
      </c>
      <c r="D174" s="641"/>
      <c r="E174" s="139"/>
      <c r="F174" s="139"/>
      <c r="G174" s="139"/>
      <c r="H174" s="139"/>
      <c r="I174" s="123"/>
      <c r="J174" s="139"/>
      <c r="K174" s="139"/>
      <c r="L174" s="139"/>
      <c r="M174" s="155"/>
      <c r="N174" s="146"/>
    </row>
    <row r="175" spans="1:14" ht="15" customHeight="1">
      <c r="A175" s="641"/>
      <c r="B175" s="130" t="str">
        <f>CONCATENATE(WORLDCUP!AA112,"-",WORLDCUP!AF112)</f>
        <v>Colombia-Croatia</v>
      </c>
      <c r="C175" s="120" t="str">
        <f>CONCATENATE(WORLDCUP!AA112,"-",WORLDCUP!AF112,"·",IF(WORLDCUP!AC112&gt;WORLDCUP!AD112,1,IF(WORLDCUP!AC112&lt;WORLDCUP!AD112,2,IF(AND(WORLDCUP!AC112=WORLDCUP!AD112,WORLDCUP!AC112&lt;&gt;"",WORLDCUP!AD112&lt;&gt;""),"X",0))),"|",WORLDCUP!AC112,"-",WORLDCUP!AD112)</f>
        <v>Colombia-Croatia·2|1-3</v>
      </c>
      <c r="D175" s="641"/>
      <c r="E175" s="139"/>
      <c r="F175" s="139"/>
      <c r="G175" s="139"/>
      <c r="H175" s="139"/>
      <c r="I175" s="123"/>
      <c r="J175" s="139"/>
      <c r="K175" s="139"/>
      <c r="L175" s="139"/>
      <c r="M175" s="155"/>
      <c r="N175" s="146"/>
    </row>
    <row r="176" spans="1:14" ht="15" customHeight="1">
      <c r="A176" s="641"/>
      <c r="B176" s="130" t="str">
        <f>CONCATENATE(WORLDCUP!AA113,"-",WORLDCUP!AF113)</f>
        <v>Switzerland-Egypt</v>
      </c>
      <c r="C176" s="120" t="str">
        <f>CONCATENATE(WORLDCUP!AA113,"-",WORLDCUP!AF113,"·",IF(WORLDCUP!AC113&gt;WORLDCUP!AD113,1,IF(WORLDCUP!AC113&lt;WORLDCUP!AD113,2,IF(AND(WORLDCUP!AC113=WORLDCUP!AD113,WORLDCUP!AC113&lt;&gt;"",WORLDCUP!AD113&lt;&gt;""),"X",0))),"|",WORLDCUP!AC113,"-",WORLDCUP!AD113)</f>
        <v>Switzerland-Egypt·1|2-0</v>
      </c>
      <c r="D176" s="641"/>
      <c r="E176" s="139"/>
      <c r="F176" s="139"/>
      <c r="G176" s="139"/>
      <c r="H176" s="139"/>
      <c r="I176" s="123"/>
      <c r="J176" s="139"/>
      <c r="K176" s="139"/>
      <c r="L176" s="139"/>
      <c r="M176" s="155"/>
      <c r="N176" s="146"/>
    </row>
    <row r="177" spans="1:14" ht="15" customHeight="1">
      <c r="A177" s="641"/>
      <c r="B177" s="130" t="str">
        <f>CONCATENATE(WORLDCUP!AA114,"-",WORLDCUP!AF114)</f>
        <v>United States-Iran</v>
      </c>
      <c r="C177" s="120" t="str">
        <f>CONCATENATE(WORLDCUP!AA114,"-",WORLDCUP!AF114,"·",IF(WORLDCUP!AC114&gt;WORLDCUP!AD114,1,IF(WORLDCUP!AC114&lt;WORLDCUP!AD114,2,IF(AND(WORLDCUP!AC114=WORLDCUP!AD114,WORLDCUP!AC114&lt;&gt;"",WORLDCUP!AD114&lt;&gt;""),"X",0))),"|",WORLDCUP!AC114,"-",WORLDCUP!AD114)</f>
        <v>United States-Iran·1|3-2</v>
      </c>
      <c r="D177" s="641"/>
      <c r="E177" s="139"/>
      <c r="F177" s="139"/>
      <c r="G177" s="139"/>
      <c r="H177" s="139"/>
      <c r="I177" s="123"/>
      <c r="J177" s="139"/>
      <c r="K177" s="139"/>
      <c r="L177" s="139"/>
      <c r="M177" s="155"/>
      <c r="N177" s="146"/>
    </row>
    <row r="178" spans="1:14" ht="15" customHeight="1">
      <c r="A178" s="641"/>
      <c r="B178" s="130" t="str">
        <f>CONCATENATE(WORLDCUP!AA115,"-",WORLDCUP!AF115)</f>
        <v>Argentina-Uruguay</v>
      </c>
      <c r="C178" s="120" t="str">
        <f>CONCATENATE(WORLDCUP!AA115,"-",WORLDCUP!AF115,"·",IF(WORLDCUP!AC115&gt;WORLDCUP!AD115,1,IF(WORLDCUP!AC115&lt;WORLDCUP!AD115,2,IF(AND(WORLDCUP!AC115=WORLDCUP!AD115,WORLDCUP!AC115&lt;&gt;"",WORLDCUP!AD115&lt;&gt;""),"X",0))),"|",WORLDCUP!AC115,"-",WORLDCUP!AD115)</f>
        <v>Argentina-Uruguay·1|3-1</v>
      </c>
      <c r="D178" s="641"/>
      <c r="E178" s="139"/>
      <c r="F178" s="139"/>
      <c r="G178" s="139"/>
      <c r="H178" s="139"/>
      <c r="I178" s="123"/>
      <c r="J178" s="139"/>
      <c r="K178" s="139"/>
      <c r="L178" s="139"/>
      <c r="M178" s="155"/>
      <c r="N178" s="146"/>
    </row>
    <row r="179" spans="1:14" ht="15" customHeight="1">
      <c r="A179" s="641"/>
      <c r="B179" s="130" t="str">
        <f>CONCATENATE(WORLDCUP!AA116,"-",WORLDCUP!AF116)</f>
        <v>Portugal-Ghana</v>
      </c>
      <c r="C179" s="120" t="str">
        <f>CONCATENATE(WORLDCUP!AA116,"-",WORLDCUP!AF116,"·",IF(WORLDCUP!AC116&gt;WORLDCUP!AD116,1,IF(WORLDCUP!AC116&lt;WORLDCUP!AD116,2,IF(AND(WORLDCUP!AC116=WORLDCUP!AD116,WORLDCUP!AC116&lt;&gt;"",WORLDCUP!AD116&lt;&gt;""),"X",0))),"|",WORLDCUP!AC116,"-",WORLDCUP!AD116)</f>
        <v>Portugal-Ghana·1|3-1</v>
      </c>
      <c r="D179" s="641"/>
      <c r="E179" s="139"/>
      <c r="F179" s="139"/>
      <c r="G179" s="139"/>
      <c r="H179" s="139"/>
      <c r="I179" s="123"/>
      <c r="J179" s="139"/>
      <c r="K179" s="139"/>
      <c r="L179" s="139"/>
      <c r="M179" s="155"/>
      <c r="N179" s="146"/>
    </row>
    <row r="180" spans="1:14" ht="15" customHeight="1">
      <c r="A180" s="34"/>
      <c r="B180" s="34"/>
      <c r="C180" s="121"/>
      <c r="D180" s="641"/>
      <c r="E180" s="139"/>
      <c r="F180" s="139"/>
      <c r="G180" s="139"/>
      <c r="H180" s="139"/>
      <c r="I180" s="123"/>
      <c r="J180" s="139"/>
      <c r="K180" s="139"/>
      <c r="L180" s="139"/>
      <c r="M180" s="155"/>
      <c r="N180" s="146"/>
    </row>
    <row r="181" spans="1:14" ht="19.149999999999999" customHeight="1">
      <c r="A181" s="34"/>
      <c r="B181" s="128" t="str">
        <f>Idiomas!D129</f>
        <v>QUALIFIED FOR ROUND OF 16</v>
      </c>
      <c r="C181" s="121"/>
      <c r="D181" s="641"/>
      <c r="E181" s="139"/>
      <c r="F181" s="139"/>
      <c r="G181" s="139"/>
      <c r="H181" s="139"/>
      <c r="I181" s="123"/>
      <c r="J181" s="139"/>
      <c r="K181" s="139"/>
      <c r="L181" s="139"/>
      <c r="M181" s="155"/>
      <c r="N181" s="146"/>
    </row>
    <row r="182" spans="1:14" ht="15" customHeight="1">
      <c r="A182" s="645" t="s">
        <v>178</v>
      </c>
      <c r="B182" s="130" t="str">
        <f>Idiomas!$D$189</f>
        <v>8-Finalist</v>
      </c>
      <c r="C182" s="120" t="str">
        <f>WORLDCUP!AA120</f>
        <v>South Korea</v>
      </c>
      <c r="D182" s="641"/>
      <c r="E182" s="139"/>
      <c r="F182" s="139"/>
      <c r="G182" s="139"/>
      <c r="H182" s="139"/>
      <c r="I182" s="123"/>
      <c r="J182" s="139"/>
      <c r="K182" s="139"/>
      <c r="L182" s="139"/>
      <c r="M182" s="155"/>
      <c r="N182" s="146"/>
    </row>
    <row r="183" spans="1:14" ht="15" customHeight="1">
      <c r="A183" s="641"/>
      <c r="B183" s="130" t="str">
        <f t="shared" ref="B183:B197" si="2">B182</f>
        <v>8-Finalist</v>
      </c>
      <c r="C183" s="120" t="str">
        <f>WORLDCUP!AA121</f>
        <v>Germany</v>
      </c>
      <c r="D183" s="641"/>
      <c r="E183" s="139"/>
      <c r="F183" s="139"/>
      <c r="G183" s="139"/>
      <c r="H183" s="139"/>
      <c r="I183" s="123"/>
      <c r="J183" s="139"/>
      <c r="K183" s="139"/>
      <c r="L183" s="139"/>
      <c r="M183" s="155"/>
      <c r="N183" s="146"/>
    </row>
    <row r="184" spans="1:14" ht="15" customHeight="1">
      <c r="A184" s="641"/>
      <c r="B184" s="130" t="str">
        <f t="shared" si="2"/>
        <v>8-Finalist</v>
      </c>
      <c r="C184" s="120" t="str">
        <f>WORLDCUP!AA122</f>
        <v>Brazil</v>
      </c>
      <c r="D184" s="641"/>
      <c r="E184" s="139"/>
      <c r="F184" s="139"/>
      <c r="G184" s="139"/>
      <c r="H184" s="139"/>
      <c r="I184" s="123"/>
      <c r="J184" s="139"/>
      <c r="K184" s="139"/>
      <c r="L184" s="139"/>
      <c r="M184" s="155"/>
      <c r="N184" s="146"/>
    </row>
    <row r="185" spans="1:14" ht="15" customHeight="1">
      <c r="A185" s="641"/>
      <c r="B185" s="130" t="str">
        <f t="shared" si="2"/>
        <v>8-Finalist</v>
      </c>
      <c r="C185" s="120" t="str">
        <f>WORLDCUP!AA123</f>
        <v>Czech Republic</v>
      </c>
      <c r="D185" s="641"/>
      <c r="E185" s="139"/>
      <c r="F185" s="139"/>
      <c r="G185" s="139"/>
      <c r="H185" s="139"/>
      <c r="I185" s="123"/>
      <c r="J185" s="139"/>
      <c r="K185" s="139"/>
      <c r="L185" s="139"/>
      <c r="M185" s="155"/>
      <c r="N185" s="146"/>
    </row>
    <row r="186" spans="1:14" ht="15" customHeight="1">
      <c r="A186" s="641"/>
      <c r="B186" s="130" t="str">
        <f t="shared" si="2"/>
        <v>8-Finalist</v>
      </c>
      <c r="C186" s="120" t="str">
        <f>WORLDCUP!AA124</f>
        <v>Croatia</v>
      </c>
      <c r="D186" s="641"/>
      <c r="E186" s="139"/>
      <c r="F186" s="139"/>
      <c r="G186" s="139"/>
      <c r="H186" s="139"/>
      <c r="I186" s="123"/>
      <c r="J186" s="139"/>
      <c r="K186" s="139"/>
      <c r="L186" s="139"/>
      <c r="M186" s="155"/>
      <c r="N186" s="146"/>
    </row>
    <row r="187" spans="1:14" ht="15" customHeight="1">
      <c r="A187" s="641"/>
      <c r="B187" s="130" t="str">
        <f t="shared" si="2"/>
        <v>8-Finalist</v>
      </c>
      <c r="C187" s="120" t="str">
        <f>WORLDCUP!AA125</f>
        <v>Turkey</v>
      </c>
      <c r="D187" s="641"/>
      <c r="E187" s="139"/>
      <c r="F187" s="139"/>
      <c r="G187" s="139"/>
      <c r="H187" s="139"/>
      <c r="I187" s="123"/>
      <c r="J187" s="139"/>
      <c r="K187" s="139"/>
      <c r="L187" s="139"/>
      <c r="M187" s="155"/>
      <c r="N187" s="146"/>
    </row>
    <row r="188" spans="1:14" ht="15" customHeight="1">
      <c r="A188" s="641"/>
      <c r="B188" s="130" t="str">
        <f t="shared" si="2"/>
        <v>8-Finalist</v>
      </c>
      <c r="C188" s="120" t="str">
        <f>WORLDCUP!AA126</f>
        <v>Argentina</v>
      </c>
      <c r="D188" s="641"/>
      <c r="E188" s="139"/>
      <c r="F188" s="139"/>
      <c r="G188" s="139"/>
      <c r="H188" s="139"/>
      <c r="I188" s="123"/>
      <c r="J188" s="139"/>
      <c r="K188" s="139"/>
      <c r="L188" s="139"/>
      <c r="M188" s="155"/>
      <c r="N188" s="146"/>
    </row>
    <row r="189" spans="1:14" ht="15" customHeight="1">
      <c r="A189" s="641"/>
      <c r="B189" s="130" t="str">
        <f t="shared" si="2"/>
        <v>8-Finalist</v>
      </c>
      <c r="C189" s="120" t="str">
        <f>WORLDCUP!AA127</f>
        <v>Switzerland</v>
      </c>
      <c r="D189" s="641"/>
      <c r="E189" s="139"/>
      <c r="F189" s="139"/>
      <c r="G189" s="139"/>
      <c r="H189" s="139"/>
      <c r="I189" s="123"/>
      <c r="J189" s="139"/>
      <c r="K189" s="139"/>
      <c r="L189" s="139"/>
      <c r="M189" s="155"/>
      <c r="N189" s="146"/>
    </row>
    <row r="190" spans="1:14" ht="15" customHeight="1">
      <c r="A190" s="641"/>
      <c r="B190" s="130" t="str">
        <f t="shared" si="2"/>
        <v>8-Finalist</v>
      </c>
      <c r="C190" s="120" t="str">
        <f>WORLDCUP!AF120</f>
        <v>Netherlands</v>
      </c>
      <c r="D190" s="641"/>
      <c r="E190" s="139"/>
      <c r="F190" s="139"/>
      <c r="G190" s="139"/>
      <c r="H190" s="139"/>
      <c r="I190" s="123"/>
      <c r="J190" s="139"/>
      <c r="K190" s="139"/>
      <c r="L190" s="139"/>
      <c r="M190" s="155"/>
      <c r="N190" s="146"/>
    </row>
    <row r="191" spans="1:14" ht="15" customHeight="1">
      <c r="A191" s="641"/>
      <c r="B191" s="130" t="str">
        <f t="shared" si="2"/>
        <v>8-Finalist</v>
      </c>
      <c r="C191" s="120" t="str">
        <f>WORLDCUP!AF121</f>
        <v>France</v>
      </c>
      <c r="D191" s="641"/>
      <c r="E191" s="139"/>
      <c r="F191" s="139"/>
      <c r="G191" s="139"/>
      <c r="H191" s="139"/>
      <c r="I191" s="123"/>
      <c r="J191" s="139"/>
      <c r="K191" s="139"/>
      <c r="L191" s="139"/>
      <c r="M191" s="155"/>
      <c r="N191" s="146"/>
    </row>
    <row r="192" spans="1:14" ht="15" customHeight="1">
      <c r="A192" s="641"/>
      <c r="B192" s="130" t="str">
        <f t="shared" si="2"/>
        <v>8-Finalist</v>
      </c>
      <c r="C192" s="120" t="str">
        <f>WORLDCUP!AF122</f>
        <v>Norway</v>
      </c>
      <c r="D192" s="641"/>
      <c r="E192" s="139"/>
      <c r="F192" s="139"/>
      <c r="G192" s="139"/>
      <c r="H192" s="139"/>
      <c r="I192" s="123"/>
      <c r="J192" s="139"/>
      <c r="K192" s="139"/>
      <c r="L192" s="139"/>
      <c r="M192" s="155"/>
      <c r="N192" s="146"/>
    </row>
    <row r="193" spans="1:14" ht="15" customHeight="1">
      <c r="A193" s="641"/>
      <c r="B193" s="130" t="str">
        <f t="shared" si="2"/>
        <v>8-Finalist</v>
      </c>
      <c r="C193" s="120" t="str">
        <f>WORLDCUP!AF123</f>
        <v>England</v>
      </c>
      <c r="D193" s="641"/>
      <c r="E193" s="139"/>
      <c r="F193" s="139"/>
      <c r="G193" s="139"/>
      <c r="H193" s="139"/>
      <c r="I193" s="123"/>
      <c r="J193" s="139"/>
      <c r="K193" s="139"/>
      <c r="L193" s="139"/>
      <c r="M193" s="155"/>
      <c r="N193" s="146"/>
    </row>
    <row r="194" spans="1:14" ht="15" customHeight="1">
      <c r="A194" s="641"/>
      <c r="B194" s="130" t="str">
        <f t="shared" si="2"/>
        <v>8-Finalist</v>
      </c>
      <c r="C194" s="120" t="str">
        <f>WORLDCUP!AF124</f>
        <v>Spain</v>
      </c>
      <c r="D194" s="641"/>
      <c r="E194" s="139"/>
      <c r="F194" s="139"/>
      <c r="G194" s="139"/>
      <c r="H194" s="139"/>
      <c r="I194" s="123"/>
      <c r="J194" s="139"/>
      <c r="K194" s="139"/>
      <c r="L194" s="139"/>
      <c r="M194" s="155"/>
      <c r="N194" s="146"/>
    </row>
    <row r="195" spans="1:14" ht="15" customHeight="1">
      <c r="A195" s="641"/>
      <c r="B195" s="130" t="str">
        <f t="shared" si="2"/>
        <v>8-Finalist</v>
      </c>
      <c r="C195" s="120" t="str">
        <f>WORLDCUP!AF125</f>
        <v>Belgium</v>
      </c>
      <c r="D195" s="641"/>
      <c r="E195" s="139"/>
      <c r="F195" s="139"/>
      <c r="G195" s="139"/>
      <c r="H195" s="139"/>
      <c r="I195" s="123"/>
      <c r="J195" s="139"/>
      <c r="K195" s="139"/>
      <c r="L195" s="139"/>
      <c r="M195" s="155"/>
      <c r="N195" s="146"/>
    </row>
    <row r="196" spans="1:14" ht="15" customHeight="1">
      <c r="A196" s="641"/>
      <c r="B196" s="130" t="str">
        <f t="shared" si="2"/>
        <v>8-Finalist</v>
      </c>
      <c r="C196" s="120" t="str">
        <f>WORLDCUP!AF126</f>
        <v>United States</v>
      </c>
      <c r="D196" s="641"/>
      <c r="E196" s="139"/>
      <c r="F196" s="139"/>
      <c r="G196" s="139"/>
      <c r="H196" s="139"/>
      <c r="I196" s="123"/>
      <c r="J196" s="139"/>
      <c r="K196" s="139"/>
      <c r="L196" s="139"/>
      <c r="M196" s="155"/>
      <c r="N196" s="146"/>
    </row>
    <row r="197" spans="1:14" ht="15" customHeight="1">
      <c r="A197" s="641"/>
      <c r="B197" s="130" t="str">
        <f t="shared" si="2"/>
        <v>8-Finalist</v>
      </c>
      <c r="C197" s="120" t="str">
        <f>WORLDCUP!AF127</f>
        <v>Portugal</v>
      </c>
      <c r="D197" s="641"/>
      <c r="E197" s="142"/>
      <c r="F197" s="142"/>
      <c r="G197" s="142"/>
      <c r="H197" s="142"/>
      <c r="I197" s="123"/>
      <c r="J197" s="139"/>
      <c r="K197" s="139"/>
      <c r="L197" s="139"/>
      <c r="M197" s="155"/>
      <c r="N197" s="146"/>
    </row>
    <row r="198" spans="1:14">
      <c r="A198" s="34"/>
      <c r="B198" s="34"/>
      <c r="C198" s="121"/>
      <c r="D198" s="139"/>
      <c r="E198" s="139"/>
      <c r="F198" s="139"/>
      <c r="G198" s="139"/>
      <c r="H198" s="139"/>
      <c r="I198" s="156"/>
      <c r="J198" s="139"/>
      <c r="K198" s="139"/>
      <c r="L198" s="139"/>
      <c r="M198" s="155"/>
      <c r="N198" s="146"/>
    </row>
    <row r="199" spans="1:14" ht="19.149999999999999" customHeight="1">
      <c r="A199" s="34"/>
      <c r="B199" s="128" t="str">
        <f>Idiomas!D130</f>
        <v>ROUND OF 16</v>
      </c>
      <c r="C199" s="121"/>
      <c r="D199" s="139"/>
      <c r="E199" s="139"/>
      <c r="F199" s="139"/>
      <c r="G199" s="139"/>
      <c r="H199" s="139"/>
      <c r="I199" s="157"/>
      <c r="J199" s="139"/>
      <c r="K199" s="139"/>
      <c r="L199" s="139"/>
      <c r="M199" s="155"/>
      <c r="N199" s="146"/>
    </row>
    <row r="200" spans="1:14" ht="15" customHeight="1">
      <c r="A200" s="645" t="s">
        <v>178</v>
      </c>
      <c r="B200" s="131" t="str">
        <f>CONCATENATE(WORLDCUP!AA120,"-",WORLDCUP!AF120)</f>
        <v>South Korea-Netherlands</v>
      </c>
      <c r="C200" s="122" t="str">
        <f>CONCATENATE(WORLDCUP!AA120,"-",WORLDCUP!AF120,"·",IF(WORLDCUP!AC120&gt;WORLDCUP!AD120,1,IF(WORLDCUP!AC120&lt;WORLDCUP!AD120,2,IF(AND(WORLDCUP!AC120=WORLDCUP!AD120,WORLDCUP!AC120&lt;&gt;"",WORLDCUP!AD120&lt;&gt;""),"X",0))),"|",WORLDCUP!AC120,"-",WORLDCUP!AD120)</f>
        <v>South Korea-Netherlands·2|2-4</v>
      </c>
      <c r="D200" s="659" t="s">
        <v>178</v>
      </c>
      <c r="E200" s="653" t="str">
        <f>Idiomas!D116</f>
        <v>·For the round of 16 matches, copy from C200 to C217 and paste in the administrator template in "Paste Values Round of 16"</v>
      </c>
      <c r="F200" s="644"/>
      <c r="G200" s="644"/>
      <c r="H200" s="644"/>
      <c r="I200" s="123"/>
      <c r="J200" s="139"/>
      <c r="K200" s="139"/>
      <c r="L200" s="139"/>
      <c r="M200" s="155"/>
      <c r="N200" s="146"/>
    </row>
    <row r="201" spans="1:14" ht="15" customHeight="1">
      <c r="A201" s="641"/>
      <c r="B201" s="131" t="str">
        <f>CONCATENATE(WORLDCUP!AA121,"-",WORLDCUP!AF121)</f>
        <v>Germany-France</v>
      </c>
      <c r="C201" s="122" t="str">
        <f>CONCATENATE(WORLDCUP!AA121,"-",WORLDCUP!AF121,"·",IF(WORLDCUP!AC121&gt;WORLDCUP!AD121,1,IF(WORLDCUP!AC121&lt;WORLDCUP!AD121,2,IF(AND(WORLDCUP!AC121=WORLDCUP!AD121,WORLDCUP!AC121&lt;&gt;"",WORLDCUP!AD121&lt;&gt;""),"X",0))),"|",WORLDCUP!AC121,"-",WORLDCUP!AD121)</f>
        <v>Germany-France·2|2-3</v>
      </c>
      <c r="D201" s="641"/>
      <c r="E201" s="644"/>
      <c r="F201" s="644"/>
      <c r="G201" s="644"/>
      <c r="H201" s="644"/>
      <c r="I201" s="123"/>
      <c r="J201" s="139"/>
      <c r="K201" s="139"/>
      <c r="L201" s="139"/>
      <c r="M201" s="155"/>
      <c r="N201" s="146"/>
    </row>
    <row r="202" spans="1:14" ht="15" customHeight="1">
      <c r="A202" s="641"/>
      <c r="B202" s="131" t="str">
        <f>CONCATENATE(WORLDCUP!AA122,"-",WORLDCUP!AF122)</f>
        <v>Brazil-Norway</v>
      </c>
      <c r="C202" s="122" t="str">
        <f>CONCATENATE(WORLDCUP!AA122,"-",WORLDCUP!AF122,"·",IF(WORLDCUP!AC122&gt;WORLDCUP!AD122,1,IF(WORLDCUP!AC122&lt;WORLDCUP!AD122,2,IF(AND(WORLDCUP!AC122=WORLDCUP!AD122,WORLDCUP!AC122&lt;&gt;"",WORLDCUP!AD122&lt;&gt;""),"X",0))),"|",WORLDCUP!AC122,"-",WORLDCUP!AD122)</f>
        <v>Brazil-Norway·2|1-2</v>
      </c>
      <c r="D202" s="641"/>
      <c r="E202" s="644"/>
      <c r="F202" s="644"/>
      <c r="G202" s="644"/>
      <c r="H202" s="644"/>
      <c r="I202" s="123"/>
      <c r="J202" s="139"/>
      <c r="K202" s="139"/>
      <c r="L202" s="139"/>
      <c r="M202" s="155"/>
      <c r="N202" s="146"/>
    </row>
    <row r="203" spans="1:14" ht="15" customHeight="1">
      <c r="A203" s="641"/>
      <c r="B203" s="131" t="str">
        <f>CONCATENATE(WORLDCUP!AA123,"-",WORLDCUP!AF123)</f>
        <v>Czech Republic-England</v>
      </c>
      <c r="C203" s="122" t="str">
        <f>CONCATENATE(WORLDCUP!AA123,"-",WORLDCUP!AF123,"·",IF(WORLDCUP!AC123&gt;WORLDCUP!AD123,1,IF(WORLDCUP!AC123&lt;WORLDCUP!AD123,2,IF(AND(WORLDCUP!AC123=WORLDCUP!AD123,WORLDCUP!AC123&lt;&gt;"",WORLDCUP!AD123&lt;&gt;""),"X",0))),"|",WORLDCUP!AC123,"-",WORLDCUP!AD123)</f>
        <v>Czech Republic-England·2|1-4</v>
      </c>
      <c r="D203" s="641"/>
      <c r="E203" s="644"/>
      <c r="F203" s="644"/>
      <c r="G203" s="644"/>
      <c r="H203" s="644"/>
      <c r="I203" s="123"/>
      <c r="J203" s="139"/>
      <c r="K203" s="139"/>
      <c r="L203" s="139"/>
      <c r="M203" s="155"/>
      <c r="N203" s="146"/>
    </row>
    <row r="204" spans="1:14" ht="15" customHeight="1">
      <c r="A204" s="641"/>
      <c r="B204" s="131" t="str">
        <f>CONCATENATE(WORLDCUP!AA124,"-",WORLDCUP!AF124)</f>
        <v>Croatia-Spain</v>
      </c>
      <c r="C204" s="122" t="str">
        <f>CONCATENATE(WORLDCUP!AA124,"-",WORLDCUP!AF124,"·",IF(WORLDCUP!AC124&gt;WORLDCUP!AD124,1,IF(WORLDCUP!AC124&lt;WORLDCUP!AD124,2,IF(AND(WORLDCUP!AC124=WORLDCUP!AD124,WORLDCUP!AC124&lt;&gt;"",WORLDCUP!AD124&lt;&gt;""),"X",0))),"|",WORLDCUP!AC124,"-",WORLDCUP!AD124)</f>
        <v>Croatia-Spain·2|1-3</v>
      </c>
      <c r="D204" s="641"/>
      <c r="E204" s="123"/>
      <c r="F204" s="123"/>
      <c r="G204" s="123"/>
      <c r="H204" s="123"/>
      <c r="I204" s="123"/>
      <c r="J204" s="139"/>
      <c r="K204" s="139"/>
      <c r="L204" s="139"/>
      <c r="M204" s="155"/>
      <c r="N204" s="146"/>
    </row>
    <row r="205" spans="1:14" ht="15" customHeight="1">
      <c r="A205" s="641"/>
      <c r="B205" s="131" t="str">
        <f>CONCATENATE(WORLDCUP!AA125,"-",WORLDCUP!AF125)</f>
        <v>Turkey-Belgium</v>
      </c>
      <c r="C205" s="122" t="str">
        <f>CONCATENATE(WORLDCUP!AA125,"-",WORLDCUP!AF125,"·",IF(WORLDCUP!AC125&gt;WORLDCUP!AD125,1,IF(WORLDCUP!AC125&lt;WORLDCUP!AD125,2,IF(AND(WORLDCUP!AC125=WORLDCUP!AD125,WORLDCUP!AC125&lt;&gt;"",WORLDCUP!AD125&lt;&gt;""),"X",0))),"|",WORLDCUP!AC125,"-",WORLDCUP!AD125)</f>
        <v>Turkey-Belgium·2|1-3</v>
      </c>
      <c r="D205" s="641"/>
      <c r="E205" s="123"/>
      <c r="F205" s="123"/>
      <c r="G205" s="123"/>
      <c r="H205" s="123"/>
      <c r="I205" s="123"/>
      <c r="J205" s="139"/>
      <c r="K205" s="139"/>
      <c r="L205" s="139"/>
      <c r="M205" s="155"/>
      <c r="N205" s="146"/>
    </row>
    <row r="206" spans="1:14" ht="15" customHeight="1">
      <c r="A206" s="641"/>
      <c r="B206" s="131" t="str">
        <f>CONCATENATE(WORLDCUP!AA126,"-",WORLDCUP!AF126)</f>
        <v>Argentina-United States</v>
      </c>
      <c r="C206" s="122" t="str">
        <f>CONCATENATE(WORLDCUP!AA126,"-",WORLDCUP!AF126,"·",IF(WORLDCUP!AC126&gt;WORLDCUP!AD126,1,IF(WORLDCUP!AC126&lt;WORLDCUP!AD126,2,IF(AND(WORLDCUP!AC126=WORLDCUP!AD126,WORLDCUP!AC126&lt;&gt;"",WORLDCUP!AD126&lt;&gt;""),"X",0))),"|",WORLDCUP!AC126,"-",WORLDCUP!AD126)</f>
        <v>Argentina-United States·1|3-2</v>
      </c>
      <c r="D206" s="641"/>
      <c r="E206" s="123"/>
      <c r="F206" s="123"/>
      <c r="G206" s="123"/>
      <c r="H206" s="123"/>
      <c r="I206" s="123"/>
      <c r="J206" s="139"/>
      <c r="K206" s="139"/>
      <c r="L206" s="139"/>
      <c r="M206" s="155"/>
      <c r="N206" s="146"/>
    </row>
    <row r="207" spans="1:14" ht="15" customHeight="1">
      <c r="A207" s="641"/>
      <c r="B207" s="131" t="str">
        <f>CONCATENATE(WORLDCUP!AA127,"-",WORLDCUP!AF127)</f>
        <v>Switzerland-Portugal</v>
      </c>
      <c r="C207" s="122" t="str">
        <f>CONCATENATE(WORLDCUP!AA127,"-",WORLDCUP!AF127,"·",IF(WORLDCUP!AC127&gt;WORLDCUP!AD127,1,IF(WORLDCUP!AC127&lt;WORLDCUP!AD127,2,IF(AND(WORLDCUP!AC127=WORLDCUP!AD127,WORLDCUP!AC127&lt;&gt;"",WORLDCUP!AD127&lt;&gt;""),"X",0))),"|",WORLDCUP!AC127,"-",WORLDCUP!AD127)</f>
        <v>Switzerland-Portugal·2|1-2</v>
      </c>
      <c r="D207" s="641"/>
      <c r="E207" s="123"/>
      <c r="F207" s="123"/>
      <c r="G207" s="123"/>
      <c r="H207" s="123"/>
      <c r="I207" s="123"/>
      <c r="J207" s="139"/>
      <c r="K207" s="139"/>
      <c r="L207" s="139"/>
      <c r="M207" s="155"/>
      <c r="N207" s="146"/>
    </row>
    <row r="208" spans="1:14" ht="15" customHeight="1">
      <c r="A208" s="34"/>
      <c r="B208" s="34"/>
      <c r="C208" s="121"/>
      <c r="D208" s="641"/>
      <c r="E208" s="139"/>
      <c r="F208" s="139"/>
      <c r="G208" s="139"/>
      <c r="H208" s="139"/>
      <c r="I208" s="123"/>
      <c r="J208" s="139"/>
      <c r="K208" s="139"/>
      <c r="L208" s="139"/>
      <c r="M208" s="155"/>
      <c r="N208" s="146"/>
    </row>
    <row r="209" spans="1:14" ht="19.149999999999999" customHeight="1">
      <c r="A209" s="34"/>
      <c r="B209" s="128" t="str">
        <f>Idiomas!D131</f>
        <v>QUARTER-FINALISTS</v>
      </c>
      <c r="C209" s="121"/>
      <c r="D209" s="641"/>
      <c r="E209" s="139"/>
      <c r="F209" s="139"/>
      <c r="G209" s="139"/>
      <c r="H209" s="139"/>
      <c r="I209" s="123"/>
      <c r="J209" s="139"/>
      <c r="K209" s="139"/>
      <c r="L209" s="139"/>
      <c r="M209" s="155"/>
      <c r="N209" s="146"/>
    </row>
    <row r="210" spans="1:14" ht="15" customHeight="1">
      <c r="A210" s="645" t="s">
        <v>203</v>
      </c>
      <c r="B210" s="130" t="str">
        <f>Idiomas!$D$190</f>
        <v>Quarterfinalist</v>
      </c>
      <c r="C210" s="120" t="str">
        <f>WORLDCUP!AA131</f>
        <v>France</v>
      </c>
      <c r="D210" s="641"/>
      <c r="E210" s="139"/>
      <c r="F210" s="139"/>
      <c r="G210" s="139"/>
      <c r="H210" s="139"/>
      <c r="I210" s="123"/>
      <c r="J210" s="139"/>
      <c r="K210" s="139"/>
      <c r="L210" s="139"/>
      <c r="M210" s="155"/>
      <c r="N210" s="146"/>
    </row>
    <row r="211" spans="1:14" ht="15" customHeight="1">
      <c r="A211" s="641"/>
      <c r="B211" s="130" t="str">
        <f t="shared" ref="B211:B217" si="3">B210</f>
        <v>Quarterfinalist</v>
      </c>
      <c r="C211" s="120" t="str">
        <f>WORLDCUP!AA132</f>
        <v>Spain</v>
      </c>
      <c r="D211" s="641"/>
      <c r="E211" s="139"/>
      <c r="F211" s="139"/>
      <c r="G211" s="139"/>
      <c r="H211" s="139"/>
      <c r="I211" s="123"/>
      <c r="J211" s="139"/>
      <c r="K211" s="139"/>
      <c r="L211" s="139"/>
      <c r="M211" s="155"/>
      <c r="N211" s="146"/>
    </row>
    <row r="212" spans="1:14" ht="15" customHeight="1">
      <c r="A212" s="641"/>
      <c r="B212" s="130" t="str">
        <f t="shared" si="3"/>
        <v>Quarterfinalist</v>
      </c>
      <c r="C212" s="120" t="str">
        <f>WORLDCUP!AA133</f>
        <v>Norway</v>
      </c>
      <c r="D212" s="641"/>
      <c r="E212" s="139"/>
      <c r="F212" s="139"/>
      <c r="G212" s="139"/>
      <c r="H212" s="139"/>
      <c r="I212" s="123"/>
      <c r="J212" s="139"/>
      <c r="K212" s="139"/>
      <c r="L212" s="139"/>
      <c r="M212" s="155"/>
      <c r="N212" s="146"/>
    </row>
    <row r="213" spans="1:14" ht="15" customHeight="1">
      <c r="A213" s="641"/>
      <c r="B213" s="130" t="str">
        <f t="shared" si="3"/>
        <v>Quarterfinalist</v>
      </c>
      <c r="C213" s="120" t="str">
        <f>WORLDCUP!AA134</f>
        <v>Argentina</v>
      </c>
      <c r="D213" s="641"/>
      <c r="E213" s="139"/>
      <c r="F213" s="139"/>
      <c r="G213" s="139"/>
      <c r="H213" s="139"/>
      <c r="I213" s="123"/>
      <c r="J213" s="139"/>
      <c r="K213" s="139"/>
      <c r="L213" s="139"/>
      <c r="M213" s="155"/>
      <c r="N213" s="146"/>
    </row>
    <row r="214" spans="1:14" ht="15" customHeight="1">
      <c r="A214" s="641"/>
      <c r="B214" s="130" t="str">
        <f t="shared" si="3"/>
        <v>Quarterfinalist</v>
      </c>
      <c r="C214" s="120" t="str">
        <f>WORLDCUP!AF131</f>
        <v>Netherlands</v>
      </c>
      <c r="D214" s="641"/>
      <c r="E214" s="139"/>
      <c r="F214" s="139"/>
      <c r="G214" s="139"/>
      <c r="H214" s="139"/>
      <c r="I214" s="123"/>
      <c r="J214" s="139"/>
      <c r="K214" s="139"/>
      <c r="L214" s="139"/>
      <c r="M214" s="155"/>
      <c r="N214" s="146"/>
    </row>
    <row r="215" spans="1:14" ht="15" customHeight="1">
      <c r="A215" s="641"/>
      <c r="B215" s="130" t="str">
        <f t="shared" si="3"/>
        <v>Quarterfinalist</v>
      </c>
      <c r="C215" s="120" t="str">
        <f>WORLDCUP!AF132</f>
        <v>Belgium</v>
      </c>
      <c r="D215" s="641"/>
      <c r="E215" s="139"/>
      <c r="F215" s="139"/>
      <c r="G215" s="139"/>
      <c r="H215" s="139"/>
      <c r="I215" s="123"/>
      <c r="J215" s="139"/>
      <c r="K215" s="139"/>
      <c r="L215" s="139"/>
      <c r="M215" s="155"/>
      <c r="N215" s="146"/>
    </row>
    <row r="216" spans="1:14" ht="15" customHeight="1">
      <c r="A216" s="641"/>
      <c r="B216" s="130" t="str">
        <f t="shared" si="3"/>
        <v>Quarterfinalist</v>
      </c>
      <c r="C216" s="120" t="str">
        <f>WORLDCUP!AF133</f>
        <v>England</v>
      </c>
      <c r="D216" s="641"/>
      <c r="E216" s="139"/>
      <c r="F216" s="139"/>
      <c r="G216" s="139"/>
      <c r="H216" s="139"/>
      <c r="I216" s="123"/>
      <c r="J216" s="139"/>
      <c r="K216" s="139"/>
      <c r="L216" s="139"/>
      <c r="M216" s="155"/>
      <c r="N216" s="146"/>
    </row>
    <row r="217" spans="1:14" ht="15" customHeight="1">
      <c r="A217" s="641"/>
      <c r="B217" s="130" t="str">
        <f t="shared" si="3"/>
        <v>Quarterfinalist</v>
      </c>
      <c r="C217" s="120" t="str">
        <f>WORLDCUP!AF134</f>
        <v>Portugal</v>
      </c>
      <c r="D217" s="641"/>
      <c r="E217" s="142"/>
      <c r="F217" s="142"/>
      <c r="G217" s="142"/>
      <c r="H217" s="142"/>
      <c r="I217" s="123"/>
      <c r="J217" s="139"/>
      <c r="K217" s="139"/>
      <c r="L217" s="139"/>
      <c r="M217" s="155"/>
      <c r="N217" s="146"/>
    </row>
    <row r="218" spans="1:14">
      <c r="A218" s="34"/>
      <c r="B218" s="34"/>
      <c r="C218" s="121"/>
      <c r="D218" s="139"/>
      <c r="E218" s="139"/>
      <c r="F218" s="139"/>
      <c r="G218" s="139"/>
      <c r="H218" s="139"/>
      <c r="I218" s="156"/>
      <c r="J218" s="139"/>
      <c r="K218" s="139"/>
      <c r="L218" s="139"/>
      <c r="M218" s="155"/>
      <c r="N218" s="146"/>
    </row>
    <row r="219" spans="1:14" ht="19.149999999999999" customHeight="1">
      <c r="A219" s="34"/>
      <c r="B219" s="128" t="str">
        <f>Idiomas!D132</f>
        <v>QUARTERFINALS</v>
      </c>
      <c r="C219" s="121"/>
      <c r="D219" s="139"/>
      <c r="E219" s="139"/>
      <c r="F219" s="139"/>
      <c r="G219" s="139"/>
      <c r="H219" s="139"/>
      <c r="I219" s="157"/>
      <c r="J219" s="139"/>
      <c r="K219" s="139"/>
      <c r="L219" s="139"/>
      <c r="M219" s="155"/>
      <c r="N219" s="146"/>
    </row>
    <row r="220" spans="1:14" ht="15" customHeight="1">
      <c r="A220" s="645" t="s">
        <v>203</v>
      </c>
      <c r="B220" s="130" t="str">
        <f>CONCATENATE(WORLDCUP!AA131,"-",WORLDCUP!AF131)</f>
        <v>France-Netherlands</v>
      </c>
      <c r="C220" s="120" t="str">
        <f>CONCATENATE(WORLDCUP!AA131,"-",WORLDCUP!AF131,"·",IF(WORLDCUP!AC131&gt;WORLDCUP!AD131,1,IF(WORLDCUP!AC131&lt;WORLDCUP!AD131,2,IF(AND(WORLDCUP!AC131=WORLDCUP!AD131,WORLDCUP!AC131&lt;&gt;"",WORLDCUP!AD131&lt;&gt;""),"X",0))),"|",WORLDCUP!AC131,"-",WORLDCUP!AD131)</f>
        <v>France-Netherlands·1|4-1</v>
      </c>
      <c r="D220" s="649" t="s">
        <v>203</v>
      </c>
      <c r="E220" s="653" t="str">
        <f>Idiomas!D117</f>
        <v>·For the round of Quarterfinals matches, copy from C220 to C229 and paste in the administrator template in "Paste Values Quarterfinals"</v>
      </c>
      <c r="F220" s="644"/>
      <c r="G220" s="644"/>
      <c r="H220" s="644"/>
      <c r="I220" s="123"/>
      <c r="J220" s="139"/>
      <c r="K220" s="139"/>
      <c r="L220" s="139"/>
      <c r="M220" s="155"/>
      <c r="N220" s="146"/>
    </row>
    <row r="221" spans="1:14" ht="15" customHeight="1">
      <c r="A221" s="641"/>
      <c r="B221" s="130" t="str">
        <f>CONCATENATE(WORLDCUP!AA132,"-",WORLDCUP!AF132)</f>
        <v>Spain-Belgium</v>
      </c>
      <c r="C221" s="120" t="str">
        <f>CONCATENATE(WORLDCUP!AA132,"-",WORLDCUP!AF132,"·",IF(WORLDCUP!AC132&gt;WORLDCUP!AD132,1,IF(WORLDCUP!AC132&lt;WORLDCUP!AD132,2,IF(AND(WORLDCUP!AC132=WORLDCUP!AD132,WORLDCUP!AC132&lt;&gt;"",WORLDCUP!AD132&lt;&gt;""),"X",0))),"|",WORLDCUP!AC132,"-",WORLDCUP!AD132)</f>
        <v>Spain-Belgium·1|3-2</v>
      </c>
      <c r="D221" s="641"/>
      <c r="E221" s="644"/>
      <c r="F221" s="644"/>
      <c r="G221" s="644"/>
      <c r="H221" s="644"/>
      <c r="I221" s="123"/>
      <c r="J221" s="139"/>
      <c r="K221" s="139"/>
      <c r="L221" s="139"/>
      <c r="M221" s="155"/>
      <c r="N221" s="146"/>
    </row>
    <row r="222" spans="1:14" ht="15" customHeight="1">
      <c r="A222" s="641"/>
      <c r="B222" s="130" t="str">
        <f>CONCATENATE(WORLDCUP!AA133,"-",WORLDCUP!AF133)</f>
        <v>Norway-England</v>
      </c>
      <c r="C222" s="120" t="str">
        <f>CONCATENATE(WORLDCUP!AA133,"-",WORLDCUP!AF133,"·",IF(WORLDCUP!AC133&gt;WORLDCUP!AD133,1,IF(WORLDCUP!AC133&lt;WORLDCUP!AD133,2,IF(AND(WORLDCUP!AC133=WORLDCUP!AD133,WORLDCUP!AC133&lt;&gt;"",WORLDCUP!AD133&lt;&gt;""),"X",0))),"|",WORLDCUP!AC133,"-",WORLDCUP!AD133)</f>
        <v>Norway-England·2|2-4</v>
      </c>
      <c r="D222" s="641"/>
      <c r="E222" s="644"/>
      <c r="F222" s="644"/>
      <c r="G222" s="644"/>
      <c r="H222" s="644"/>
      <c r="I222" s="123"/>
      <c r="J222" s="139"/>
      <c r="K222" s="139"/>
      <c r="L222" s="139"/>
      <c r="M222" s="155"/>
      <c r="N222" s="146"/>
    </row>
    <row r="223" spans="1:14" ht="15" customHeight="1">
      <c r="A223" s="641"/>
      <c r="B223" s="130" t="str">
        <f>CONCATENATE(WORLDCUP!AA134,"-",WORLDCUP!AF134)</f>
        <v>Argentina-Portugal</v>
      </c>
      <c r="C223" s="120" t="str">
        <f>CONCATENATE(WORLDCUP!AA134,"-",WORLDCUP!AF134,"·",IF(WORLDCUP!AC134&gt;WORLDCUP!AD134,1,IF(WORLDCUP!AC134&lt;WORLDCUP!AD134,2,IF(AND(WORLDCUP!AC134=WORLDCUP!AD134,WORLDCUP!AC134&lt;&gt;"",WORLDCUP!AD134&lt;&gt;""),"X",0))),"|",WORLDCUP!AC134,"-",WORLDCUP!AD134)</f>
        <v>Argentina-Portugal·2|2-3</v>
      </c>
      <c r="D223" s="641"/>
      <c r="E223" s="644"/>
      <c r="F223" s="644"/>
      <c r="G223" s="644"/>
      <c r="H223" s="644"/>
      <c r="I223" s="123"/>
      <c r="J223" s="139"/>
      <c r="K223" s="139"/>
      <c r="L223" s="139"/>
      <c r="M223" s="155"/>
      <c r="N223" s="146"/>
    </row>
    <row r="224" spans="1:14">
      <c r="A224" s="34"/>
      <c r="B224" s="34"/>
      <c r="C224" s="121"/>
      <c r="D224" s="641"/>
      <c r="E224" s="123"/>
      <c r="F224" s="123"/>
      <c r="G224" s="123"/>
      <c r="H224" s="123"/>
      <c r="I224" s="123"/>
      <c r="J224" s="139"/>
      <c r="K224" s="139"/>
      <c r="L224" s="139"/>
      <c r="M224" s="155"/>
      <c r="N224" s="146"/>
    </row>
    <row r="225" spans="1:14" ht="19.149999999999999" customHeight="1">
      <c r="A225" s="34"/>
      <c r="B225" s="128" t="str">
        <f>Idiomas!D133</f>
        <v>QUALIFIED FOR SEMIFINALS</v>
      </c>
      <c r="C225" s="121"/>
      <c r="D225" s="641"/>
      <c r="E225" s="139"/>
      <c r="F225" s="139"/>
      <c r="G225" s="139"/>
      <c r="H225" s="139"/>
      <c r="I225" s="123"/>
      <c r="J225" s="139"/>
      <c r="K225" s="139"/>
      <c r="L225" s="139"/>
      <c r="M225" s="155"/>
      <c r="N225" s="146"/>
    </row>
    <row r="226" spans="1:14" ht="15" customHeight="1">
      <c r="A226" s="645" t="s">
        <v>219</v>
      </c>
      <c r="B226" s="130" t="str">
        <f>Idiomas!$D$191</f>
        <v>Semifinalist</v>
      </c>
      <c r="C226" s="120" t="str">
        <f>WORLDCUP!AA138</f>
        <v>France</v>
      </c>
      <c r="D226" s="641"/>
      <c r="E226" s="139"/>
      <c r="F226" s="139"/>
      <c r="G226" s="139"/>
      <c r="H226" s="139"/>
      <c r="I226" s="123"/>
      <c r="J226" s="139"/>
      <c r="K226" s="139"/>
      <c r="L226" s="139"/>
      <c r="M226" s="155"/>
      <c r="N226" s="146"/>
    </row>
    <row r="227" spans="1:14" ht="15" customHeight="1">
      <c r="A227" s="641"/>
      <c r="B227" s="130" t="str">
        <f>Idiomas!$D$191</f>
        <v>Semifinalist</v>
      </c>
      <c r="C227" s="120" t="str">
        <f>WORLDCUP!AA139</f>
        <v>England</v>
      </c>
      <c r="D227" s="641"/>
      <c r="E227" s="139"/>
      <c r="F227" s="139"/>
      <c r="G227" s="139"/>
      <c r="H227" s="139"/>
      <c r="I227" s="123"/>
      <c r="J227" s="139"/>
      <c r="K227" s="139"/>
      <c r="L227" s="139"/>
      <c r="M227" s="155"/>
      <c r="N227" s="146"/>
    </row>
    <row r="228" spans="1:14" ht="15" customHeight="1">
      <c r="A228" s="641"/>
      <c r="B228" s="130" t="str">
        <f>Idiomas!$D$191</f>
        <v>Semifinalist</v>
      </c>
      <c r="C228" s="120" t="str">
        <f>WORLDCUP!AF138</f>
        <v>Spain</v>
      </c>
      <c r="D228" s="641"/>
      <c r="E228" s="139"/>
      <c r="F228" s="139"/>
      <c r="G228" s="139"/>
      <c r="H228" s="139"/>
      <c r="I228" s="123"/>
      <c r="J228" s="139"/>
      <c r="K228" s="139"/>
      <c r="L228" s="139"/>
      <c r="M228" s="155"/>
      <c r="N228" s="146"/>
    </row>
    <row r="229" spans="1:14" ht="15" customHeight="1">
      <c r="A229" s="641"/>
      <c r="B229" s="130" t="str">
        <f>Idiomas!$D$191</f>
        <v>Semifinalist</v>
      </c>
      <c r="C229" s="120" t="str">
        <f>WORLDCUP!AF139</f>
        <v>Portugal</v>
      </c>
      <c r="D229" s="641"/>
      <c r="E229" s="142"/>
      <c r="F229" s="142"/>
      <c r="G229" s="142"/>
      <c r="H229" s="142"/>
      <c r="I229" s="123"/>
      <c r="J229" s="139"/>
      <c r="K229" s="139"/>
      <c r="L229" s="139"/>
      <c r="M229" s="155"/>
      <c r="N229" s="146"/>
    </row>
    <row r="230" spans="1:14">
      <c r="A230" s="34"/>
      <c r="B230" s="34"/>
      <c r="C230" s="121"/>
      <c r="D230" s="139"/>
      <c r="E230" s="139"/>
      <c r="F230" s="139"/>
      <c r="G230" s="139"/>
      <c r="H230" s="139"/>
      <c r="I230" s="157"/>
      <c r="J230" s="139"/>
      <c r="K230" s="139"/>
      <c r="L230" s="139"/>
      <c r="M230" s="155"/>
      <c r="N230" s="146"/>
    </row>
    <row r="231" spans="1:14" ht="19.149999999999999" customHeight="1">
      <c r="A231" s="34"/>
      <c r="B231" s="128" t="str">
        <f>Idiomas!D134</f>
        <v>SEMIFINALS</v>
      </c>
      <c r="C231" s="121"/>
      <c r="D231" s="139"/>
      <c r="E231" s="139"/>
      <c r="F231" s="139"/>
      <c r="G231" s="139"/>
      <c r="H231" s="139"/>
      <c r="I231" s="157"/>
      <c r="J231" s="139"/>
      <c r="K231" s="139"/>
      <c r="L231" s="139"/>
      <c r="M231" s="155"/>
      <c r="N231" s="146"/>
    </row>
    <row r="232" spans="1:14" ht="15" customHeight="1">
      <c r="A232" s="652" t="s">
        <v>219</v>
      </c>
      <c r="B232" s="130" t="str">
        <f>CONCATENATE(WORLDCUP!AA138,"-",WORLDCUP!AF138)</f>
        <v>France-Spain</v>
      </c>
      <c r="C232" s="122" t="str">
        <f>CONCATENATE(WORLDCUP!AA138,"-",WORLDCUP!AF138,"·",IF(WORLDCUP!AC138&gt;WORLDCUP!AD138,1,IF(WORLDCUP!AC138&lt;WORLDCUP!AD138,2,IF(AND(WORLDCUP!AC138=WORLDCUP!AD138,WORLDCUP!AC138&lt;&gt;"",WORLDCUP!AD138&lt;&gt;""),"X",0))),"|",WORLDCUP!AC138,"-",WORLDCUP!AD138)</f>
        <v>France-Spain·2|3-4</v>
      </c>
      <c r="D232" s="659" t="s">
        <v>219</v>
      </c>
      <c r="E232" s="653" t="str">
        <f>Idiomas!D118</f>
        <v>·For the round of Semi-Finals matches, copy from C232 to C241 and paste in the administrator template in "Paste Values Semifinals"</v>
      </c>
      <c r="F232" s="644"/>
      <c r="G232" s="644"/>
      <c r="H232" s="644"/>
      <c r="I232" s="123"/>
      <c r="J232" s="139"/>
      <c r="K232" s="139"/>
      <c r="L232" s="139"/>
      <c r="M232" s="155"/>
      <c r="N232" s="146"/>
    </row>
    <row r="233" spans="1:14" ht="15" customHeight="1">
      <c r="A233" s="641"/>
      <c r="B233" s="130" t="str">
        <f>CONCATENATE(WORLDCUP!AA139,"-",WORLDCUP!AF139)</f>
        <v>England-Portugal</v>
      </c>
      <c r="C233" s="122" t="str">
        <f>CONCATENATE(WORLDCUP!AA139,"-",WORLDCUP!AF139,"·",IF(WORLDCUP!AC139&gt;WORLDCUP!AD139,1,IF(WORLDCUP!AC139&lt;WORLDCUP!AD139,2,IF(AND(WORLDCUP!AC139=WORLDCUP!AD139,WORLDCUP!AC139&lt;&gt;"",WORLDCUP!AD139&lt;&gt;""),"X",0))),"|",WORLDCUP!AC139,"-",WORLDCUP!AD139)</f>
        <v>England-Portugal·2|2-3</v>
      </c>
      <c r="D233" s="641"/>
      <c r="E233" s="644"/>
      <c r="F233" s="644"/>
      <c r="G233" s="644"/>
      <c r="H233" s="644"/>
      <c r="I233" s="123"/>
      <c r="J233" s="139"/>
      <c r="K233" s="139"/>
      <c r="L233" s="139"/>
      <c r="M233" s="155"/>
      <c r="N233" s="146"/>
    </row>
    <row r="234" spans="1:14" ht="15" customHeight="1">
      <c r="A234" s="34"/>
      <c r="B234" s="34"/>
      <c r="C234" s="121"/>
      <c r="D234" s="641"/>
      <c r="E234" s="644"/>
      <c r="F234" s="644"/>
      <c r="G234" s="644"/>
      <c r="H234" s="644"/>
      <c r="I234" s="123"/>
      <c r="J234" s="139"/>
      <c r="K234" s="139"/>
      <c r="L234" s="139"/>
      <c r="M234" s="155"/>
      <c r="N234" s="146"/>
    </row>
    <row r="235" spans="1:14" ht="19.149999999999999" customHeight="1">
      <c r="A235" s="34"/>
      <c r="B235" s="128" t="str">
        <f>Idiomas!D135</f>
        <v>QUALIFIED FOR 3rd-4th PLACE</v>
      </c>
      <c r="C235" s="121"/>
      <c r="D235" s="641"/>
      <c r="E235" s="644"/>
      <c r="F235" s="644"/>
      <c r="G235" s="644"/>
      <c r="H235" s="644"/>
      <c r="I235" s="123"/>
      <c r="J235" s="139"/>
      <c r="K235" s="139"/>
      <c r="L235" s="139"/>
      <c r="M235" s="155"/>
      <c r="N235" s="146"/>
    </row>
    <row r="236" spans="1:14" ht="15" customHeight="1">
      <c r="A236" s="652" t="s">
        <v>226</v>
      </c>
      <c r="B236" s="130" t="str">
        <f>Idiomas!D192</f>
        <v>3rd-4th place</v>
      </c>
      <c r="C236" s="120" t="str">
        <f>WORLDCUP!AA143</f>
        <v>France</v>
      </c>
      <c r="D236" s="641"/>
      <c r="E236" s="143"/>
      <c r="F236" s="143"/>
      <c r="G236" s="143"/>
      <c r="H236" s="143"/>
      <c r="I236" s="123"/>
      <c r="J236" s="139"/>
      <c r="K236" s="139"/>
      <c r="L236" s="139"/>
      <c r="M236" s="155"/>
      <c r="N236" s="146"/>
    </row>
    <row r="237" spans="1:14" ht="15" customHeight="1">
      <c r="A237" s="641"/>
      <c r="B237" s="130" t="str">
        <f>Idiomas!D192</f>
        <v>3rd-4th place</v>
      </c>
      <c r="C237" s="120" t="str">
        <f>WORLDCUP!AF143</f>
        <v>England</v>
      </c>
      <c r="D237" s="641"/>
      <c r="E237" s="143"/>
      <c r="F237" s="143"/>
      <c r="G237" s="143"/>
      <c r="H237" s="143"/>
      <c r="I237" s="123"/>
      <c r="J237" s="139"/>
      <c r="K237" s="139"/>
      <c r="L237" s="139"/>
      <c r="M237" s="155"/>
      <c r="N237" s="146"/>
    </row>
    <row r="238" spans="1:14" ht="15" customHeight="1">
      <c r="A238" s="34"/>
      <c r="B238" s="34"/>
      <c r="C238" s="121"/>
      <c r="D238" s="641"/>
      <c r="E238" s="143"/>
      <c r="F238" s="143"/>
      <c r="G238" s="143"/>
      <c r="H238" s="143"/>
      <c r="I238" s="123"/>
      <c r="J238" s="139"/>
      <c r="K238" s="139"/>
      <c r="L238" s="139"/>
      <c r="M238" s="155"/>
      <c r="N238" s="146"/>
    </row>
    <row r="239" spans="1:14" ht="19.149999999999999" customHeight="1">
      <c r="A239" s="34"/>
      <c r="B239" s="128" t="str">
        <f>Idiomas!D136</f>
        <v>QUALIFIED FOR THE FINAL</v>
      </c>
      <c r="C239" s="121"/>
      <c r="D239" s="641"/>
      <c r="E239" s="143"/>
      <c r="F239" s="143"/>
      <c r="G239" s="143"/>
      <c r="H239" s="143"/>
      <c r="I239" s="123"/>
      <c r="J239" s="139"/>
      <c r="K239" s="139"/>
      <c r="L239" s="139"/>
      <c r="M239" s="155"/>
      <c r="N239" s="146"/>
    </row>
    <row r="240" spans="1:14" ht="15" customHeight="1">
      <c r="A240" s="652" t="s">
        <v>116</v>
      </c>
      <c r="B240" s="130" t="str">
        <f>Idiomas!D193</f>
        <v>Finalist</v>
      </c>
      <c r="C240" s="120" t="str">
        <f>WORLDCUP!AA147</f>
        <v>Spain</v>
      </c>
      <c r="D240" s="641"/>
      <c r="E240" s="139"/>
      <c r="F240" s="139"/>
      <c r="G240" s="139"/>
      <c r="H240" s="139"/>
      <c r="I240" s="123"/>
      <c r="J240" s="139"/>
      <c r="K240" s="139"/>
      <c r="L240" s="139"/>
      <c r="M240" s="155"/>
      <c r="N240" s="146"/>
    </row>
    <row r="241" spans="1:14" ht="15" customHeight="1">
      <c r="A241" s="641"/>
      <c r="B241" s="130" t="str">
        <f>B240</f>
        <v>Finalist</v>
      </c>
      <c r="C241" s="120" t="str">
        <f>WORLDCUP!AF147</f>
        <v>Portugal</v>
      </c>
      <c r="D241" s="641"/>
      <c r="E241" s="144"/>
      <c r="F241" s="144"/>
      <c r="G241" s="144"/>
      <c r="H241" s="158"/>
      <c r="I241" s="159"/>
      <c r="J241" s="139"/>
      <c r="K241" s="139"/>
      <c r="L241" s="139"/>
      <c r="M241" s="155"/>
      <c r="N241" s="146"/>
    </row>
    <row r="242" spans="1:14">
      <c r="A242" s="34"/>
      <c r="B242" s="34"/>
      <c r="C242" s="121"/>
      <c r="D242" s="139"/>
      <c r="E242" s="139"/>
      <c r="F242" s="139"/>
      <c r="G242" s="139"/>
      <c r="H242" s="139"/>
      <c r="I242" s="156"/>
      <c r="J242" s="139"/>
      <c r="K242" s="139"/>
      <c r="L242" s="139"/>
      <c r="M242" s="155"/>
      <c r="N242" s="146"/>
    </row>
    <row r="243" spans="1:14" ht="19.149999999999999" customHeight="1">
      <c r="A243" s="34"/>
      <c r="B243" s="128" t="str">
        <f>Idiomas!D137</f>
        <v>3rd-4th place</v>
      </c>
      <c r="C243" s="121"/>
      <c r="D243" s="139"/>
      <c r="E243" s="139"/>
      <c r="F243" s="139"/>
      <c r="G243" s="139"/>
      <c r="H243" s="139"/>
      <c r="I243" s="157"/>
      <c r="J243" s="139"/>
      <c r="K243" s="139"/>
      <c r="L243" s="139"/>
      <c r="M243" s="155"/>
      <c r="N243" s="146"/>
    </row>
    <row r="244" spans="1:14" ht="15" customHeight="1">
      <c r="A244" s="132" t="s">
        <v>226</v>
      </c>
      <c r="B244" s="130" t="str">
        <f>CONCATENATE(WORLDCUP!AA143,"-",WORLDCUP!AF143)</f>
        <v>France-England</v>
      </c>
      <c r="C244" s="120" t="str">
        <f>CONCATENATE(WORLDCUP!AA143,"-",WORLDCUP!AF143,"·",IF(WORLDCUP!AC143&gt;WORLDCUP!AD143,1,IF(WORLDCUP!AC143&lt;WORLDCUP!AD143,2,IF(AND(WORLDCUP!AC143=WORLDCUP!AD143,WORLDCUP!AC143&lt;&gt;"",WORLDCUP!AD143&lt;&gt;""),"X",0))),"|",WORLDCUP!AC143,"-",WORLDCUP!AD143)</f>
        <v>France-England·2|3-5</v>
      </c>
      <c r="D244" s="669" t="s">
        <v>271</v>
      </c>
      <c r="E244" s="662" t="str">
        <f>Idiomas!D119</f>
        <v>·For the Final and 3-4 place matches, copy from C244 to C252 and paste in the administrator template in "Paste Values Final"</v>
      </c>
      <c r="F244" s="644"/>
      <c r="G244" s="644"/>
      <c r="H244" s="644"/>
      <c r="I244" s="150"/>
      <c r="J244" s="139"/>
      <c r="K244" s="139"/>
      <c r="L244" s="139"/>
      <c r="M244" s="155"/>
      <c r="N244" s="146"/>
    </row>
    <row r="245" spans="1:14" ht="15" customHeight="1">
      <c r="A245" s="34"/>
      <c r="B245" s="34"/>
      <c r="C245" s="121"/>
      <c r="D245" s="641"/>
      <c r="E245" s="644"/>
      <c r="F245" s="644"/>
      <c r="G245" s="644"/>
      <c r="H245" s="644"/>
      <c r="I245" s="150"/>
      <c r="J245" s="139"/>
      <c r="K245" s="139"/>
      <c r="L245" s="139"/>
      <c r="M245" s="155"/>
      <c r="N245" s="146"/>
    </row>
    <row r="246" spans="1:14" ht="21" customHeight="1">
      <c r="A246" s="34"/>
      <c r="B246" s="128" t="str">
        <f>Idiomas!D138</f>
        <v>FINAL</v>
      </c>
      <c r="C246" s="121"/>
      <c r="D246" s="641"/>
      <c r="E246" s="644"/>
      <c r="F246" s="644"/>
      <c r="G246" s="644"/>
      <c r="H246" s="644"/>
      <c r="I246" s="150"/>
      <c r="J246" s="139"/>
      <c r="K246" s="139"/>
      <c r="L246" s="139"/>
      <c r="M246" s="155"/>
      <c r="N246" s="146"/>
    </row>
    <row r="247" spans="1:14" ht="15" customHeight="1">
      <c r="A247" s="132" t="s">
        <v>116</v>
      </c>
      <c r="B247" s="130" t="str">
        <f>CONCATENATE(WORLDCUP!AA147,"-",WORLDCUP!AF147)</f>
        <v>Spain-Portugal</v>
      </c>
      <c r="C247" s="122" t="str">
        <f>CONCATENATE(WORLDCUP!AA147,"-",WORLDCUP!AF147,"·",IF(WORLDCUP!AC147&gt;WORLDCUP!AD147,1,IF(WORLDCUP!AC147&lt;WORLDCUP!AD147,2,IF(AND(WORLDCUP!AC147=WORLDCUP!AD147,WORLDCUP!AC147&lt;&gt;"",WORLDCUP!AD147&lt;&gt;""),"X",0))),"|",WORLDCUP!AC147,"-",WORLDCUP!AD147)</f>
        <v>Spain-Portugal·2|2-3</v>
      </c>
      <c r="D247" s="641"/>
      <c r="E247" s="145"/>
      <c r="F247" s="145"/>
      <c r="G247" s="145"/>
      <c r="H247" s="145"/>
      <c r="I247" s="150"/>
      <c r="J247" s="139"/>
      <c r="K247" s="139"/>
      <c r="L247" s="139"/>
      <c r="M247" s="155"/>
      <c r="N247" s="146"/>
    </row>
    <row r="248" spans="1:14" ht="15" customHeight="1">
      <c r="A248" s="34"/>
      <c r="B248" s="34"/>
      <c r="C248" s="121"/>
      <c r="D248" s="641"/>
      <c r="E248" s="143"/>
      <c r="F248" s="143"/>
      <c r="G248" s="143"/>
      <c r="H248" s="143"/>
      <c r="I248" s="150"/>
      <c r="J248" s="139"/>
      <c r="K248" s="139"/>
      <c r="L248" s="139"/>
      <c r="M248" s="155"/>
      <c r="N248" s="146"/>
    </row>
    <row r="249" spans="1:14" ht="19.149999999999999" customHeight="1">
      <c r="A249" s="34"/>
      <c r="B249" s="128" t="str">
        <f>Idiomas!D139</f>
        <v>HONOR BOX</v>
      </c>
      <c r="C249" s="121"/>
      <c r="D249" s="641"/>
      <c r="E249" s="143"/>
      <c r="F249" s="143"/>
      <c r="G249" s="143"/>
      <c r="H249" s="143"/>
      <c r="I249" s="150"/>
      <c r="J249" s="139"/>
      <c r="K249" s="139"/>
      <c r="L249" s="139"/>
      <c r="M249" s="155"/>
      <c r="N249" s="146"/>
    </row>
    <row r="250" spans="1:14" ht="15" customHeight="1">
      <c r="A250" s="133"/>
      <c r="B250" s="130" t="str">
        <f>WORLDCUP!W150</f>
        <v>🥇Winner</v>
      </c>
      <c r="C250" s="120" t="str">
        <f>WORLDCUP!AA150</f>
        <v>Portugal</v>
      </c>
      <c r="D250" s="641"/>
      <c r="E250" s="143"/>
      <c r="F250" s="143"/>
      <c r="G250" s="143"/>
      <c r="H250" s="143"/>
      <c r="I250" s="150"/>
      <c r="J250" s="139"/>
      <c r="K250" s="139"/>
      <c r="L250" s="139"/>
      <c r="M250" s="155"/>
      <c r="N250" s="146"/>
    </row>
    <row r="251" spans="1:14" ht="15" customHeight="1">
      <c r="A251" s="134"/>
      <c r="B251" s="130" t="str">
        <f>WORLDCUP!W151</f>
        <v>🥈Runner-up</v>
      </c>
      <c r="C251" s="120" t="str">
        <f>WORLDCUP!AA151</f>
        <v>Spain</v>
      </c>
      <c r="D251" s="641"/>
      <c r="E251" s="143"/>
      <c r="F251" s="143"/>
      <c r="G251" s="143"/>
      <c r="H251" s="143"/>
      <c r="I251" s="159"/>
      <c r="J251" s="152"/>
      <c r="K251" s="141"/>
      <c r="L251" s="141"/>
      <c r="M251" s="155"/>
      <c r="N251" s="146"/>
    </row>
    <row r="252" spans="1:14" ht="15" customHeight="1">
      <c r="A252" s="134"/>
      <c r="B252" s="130" t="str">
        <f>WORLDCUP!W152</f>
        <v>🥉3rd place</v>
      </c>
      <c r="C252" s="120" t="str">
        <f>WORLDCUP!AA152</f>
        <v>England</v>
      </c>
      <c r="D252" s="641"/>
      <c r="E252" s="139"/>
      <c r="F252" s="139"/>
      <c r="G252" s="139"/>
      <c r="H252" s="139"/>
      <c r="I252" s="123"/>
      <c r="J252" s="139"/>
      <c r="K252" s="139"/>
      <c r="L252" s="139"/>
      <c r="M252" s="160"/>
      <c r="N252" s="146"/>
    </row>
    <row r="253" spans="1:14" ht="15" customHeight="1">
      <c r="A253" s="135"/>
      <c r="B253" s="130">
        <f>WORLDCUP!W154</f>
        <v>0</v>
      </c>
      <c r="C253" s="120">
        <f>WORLDCUP!AA154</f>
        <v>0</v>
      </c>
      <c r="D253" s="140"/>
      <c r="E253" s="658" t="str">
        <f>Idiomas!D120</f>
        <v>·At the beginning of the competition, if it is done in phases, copy from C253 to C258 and paste it at the end of the player in the administrator file.</v>
      </c>
      <c r="F253" s="641"/>
      <c r="G253" s="641"/>
      <c r="H253" s="641"/>
      <c r="I253" s="161"/>
      <c r="J253" s="161"/>
      <c r="K253" s="161"/>
      <c r="L253" s="162"/>
      <c r="M253" s="162"/>
      <c r="N253" s="146"/>
    </row>
    <row r="254" spans="1:14" ht="15" customHeight="1">
      <c r="A254" s="136"/>
      <c r="B254" s="130">
        <f>WORLDCUP!W155</f>
        <v>0</v>
      </c>
      <c r="C254" s="120">
        <f>WORLDCUP!AA155</f>
        <v>0</v>
      </c>
      <c r="D254" s="140"/>
      <c r="E254" s="641"/>
      <c r="F254" s="641"/>
      <c r="G254" s="641"/>
      <c r="H254" s="641"/>
      <c r="I254" s="161"/>
      <c r="J254" s="161"/>
      <c r="K254" s="161"/>
      <c r="L254" s="162"/>
      <c r="M254" s="162"/>
      <c r="N254" s="146"/>
    </row>
    <row r="255" spans="1:14" ht="15" customHeight="1">
      <c r="A255" s="136"/>
      <c r="B255" s="130">
        <f>WORLDCUP!W156</f>
        <v>0</v>
      </c>
      <c r="C255" s="120">
        <f>WORLDCUP!AA156</f>
        <v>0</v>
      </c>
      <c r="D255" s="140"/>
      <c r="E255" s="641"/>
      <c r="F255" s="641"/>
      <c r="G255" s="641"/>
      <c r="H255" s="641"/>
      <c r="I255" s="161"/>
      <c r="J255" s="161"/>
      <c r="K255" s="161"/>
      <c r="L255" s="162"/>
      <c r="M255" s="162"/>
      <c r="N255" s="146"/>
    </row>
    <row r="256" spans="1:14" ht="15" customHeight="1">
      <c r="A256" s="133"/>
      <c r="B256" s="130">
        <f>WORLDCUP!W158</f>
        <v>0</v>
      </c>
      <c r="C256" s="120">
        <f>WORLDCUP!AA158</f>
        <v>0</v>
      </c>
      <c r="D256" s="140"/>
      <c r="E256" s="641"/>
      <c r="F256" s="641"/>
      <c r="G256" s="641"/>
      <c r="H256" s="641"/>
      <c r="I256" s="161"/>
      <c r="J256" s="161"/>
      <c r="K256" s="161"/>
      <c r="L256" s="162"/>
      <c r="M256" s="162"/>
      <c r="N256" s="146"/>
    </row>
    <row r="257" spans="1:14" ht="15" customHeight="1">
      <c r="A257" s="134"/>
      <c r="B257" s="130">
        <f>WORLDCUP!W159</f>
        <v>0</v>
      </c>
      <c r="C257" s="120">
        <f>WORLDCUP!AA159</f>
        <v>0</v>
      </c>
      <c r="D257" s="140"/>
      <c r="E257" s="140"/>
      <c r="F257" s="161"/>
      <c r="G257" s="161"/>
      <c r="H257" s="161"/>
      <c r="I257" s="161"/>
      <c r="J257" s="161"/>
      <c r="K257" s="161"/>
      <c r="L257" s="162"/>
      <c r="M257" s="162"/>
      <c r="N257" s="146"/>
    </row>
    <row r="258" spans="1:14" ht="15" customHeight="1">
      <c r="A258" s="134"/>
      <c r="B258" s="130">
        <f>WORLDCUP!W160</f>
        <v>0</v>
      </c>
      <c r="C258" s="120">
        <f>WORLDCUP!AA160</f>
        <v>0</v>
      </c>
      <c r="D258" s="140"/>
      <c r="E258" s="140"/>
      <c r="F258" s="161"/>
      <c r="G258" s="161"/>
      <c r="H258" s="161"/>
      <c r="I258" s="161"/>
      <c r="J258" s="161"/>
      <c r="K258" s="161"/>
      <c r="L258" s="162"/>
      <c r="M258" s="162"/>
      <c r="N258" s="146"/>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48" customWidth="1"/>
    <col min="4" max="4" width="17.28515625" style="348" bestFit="1" customWidth="1"/>
    <col min="5" max="6" width="10.7109375" style="348" customWidth="1"/>
    <col min="7" max="7" width="17.28515625" style="348" bestFit="1" customWidth="1"/>
    <col min="8" max="8" width="13" style="348" customWidth="1"/>
    <col min="9" max="9" width="10.7109375" style="348" customWidth="1"/>
    <col min="10" max="10" width="13" style="348" bestFit="1" customWidth="1"/>
    <col min="11" max="12" width="12.28515625" style="348" bestFit="1" customWidth="1"/>
    <col min="13" max="14" width="10.7109375" style="348" customWidth="1"/>
    <col min="15" max="16384" width="10.7109375" style="348"/>
  </cols>
  <sheetData>
    <row r="2" spans="1:12">
      <c r="A2" s="348" t="s">
        <v>272</v>
      </c>
      <c r="B2" s="348">
        <f>IF(Home!$C$6=Idiomas!A2,1,0)</f>
        <v>0</v>
      </c>
    </row>
    <row r="3" spans="1:12">
      <c r="A3" s="348" t="s">
        <v>0</v>
      </c>
      <c r="B3" s="348">
        <f>IF(Home!$C$6=Idiomas!A3,1,0)</f>
        <v>1</v>
      </c>
      <c r="E3" s="348" t="s">
        <v>273</v>
      </c>
      <c r="F3" s="348" t="s">
        <v>274</v>
      </c>
      <c r="G3" s="348" t="s">
        <v>272</v>
      </c>
      <c r="H3" s="348" t="s">
        <v>275</v>
      </c>
    </row>
    <row r="4" spans="1:12">
      <c r="D4" s="348" t="str">
        <f t="shared" ref="D4:D12" si="0">IF($B$2,G4,H4)</f>
        <v>Introduce Results</v>
      </c>
      <c r="E4" s="348" t="s">
        <v>276</v>
      </c>
      <c r="F4" s="348" t="s">
        <v>277</v>
      </c>
      <c r="G4" s="348" t="s">
        <v>278</v>
      </c>
      <c r="H4" s="348" t="s">
        <v>279</v>
      </c>
    </row>
    <row r="5" spans="1:12">
      <c r="B5" s="349"/>
      <c r="D5" s="348" t="str">
        <f t="shared" si="0"/>
        <v>If you want to organize a pool (betting game) with your group, you can download the administrator file from the link below.</v>
      </c>
      <c r="E5" s="348" t="s">
        <v>276</v>
      </c>
      <c r="F5" s="348" t="s">
        <v>280</v>
      </c>
      <c r="G5" s="348" t="s">
        <v>281</v>
      </c>
      <c r="H5" s="348" t="s">
        <v>282</v>
      </c>
      <c r="K5" s="348" t="s">
        <v>283</v>
      </c>
      <c r="L5" s="348" t="s">
        <v>284</v>
      </c>
    </row>
    <row r="6" spans="1:12">
      <c r="B6" s="349"/>
      <c r="D6" s="348" t="str">
        <f t="shared" si="0"/>
        <v>Team Predictor</v>
      </c>
      <c r="E6" s="348" t="s">
        <v>276</v>
      </c>
      <c r="G6" s="348" t="s">
        <v>285</v>
      </c>
      <c r="H6" s="348" t="s">
        <v>286</v>
      </c>
    </row>
    <row r="7" spans="1:12">
      <c r="D7" s="348" t="str">
        <f t="shared" si="0"/>
        <v>Select languaje</v>
      </c>
      <c r="E7" s="348" t="s">
        <v>276</v>
      </c>
      <c r="F7" s="348" t="s">
        <v>287</v>
      </c>
      <c r="G7" s="348" t="s">
        <v>288</v>
      </c>
      <c r="H7" s="348" t="s">
        <v>289</v>
      </c>
    </row>
    <row r="8" spans="1:12">
      <c r="D8" s="348" t="str">
        <f t="shared" si="0"/>
        <v>XXIII World Cup USA/MEX/CAN 2026</v>
      </c>
      <c r="E8" s="348" t="s">
        <v>276</v>
      </c>
      <c r="F8" s="348" t="s">
        <v>290</v>
      </c>
      <c r="G8" s="348" t="s">
        <v>291</v>
      </c>
      <c r="H8" s="348" t="s">
        <v>292</v>
      </c>
    </row>
    <row r="9" spans="1:12">
      <c r="D9" s="348" t="str">
        <f t="shared" si="0"/>
        <v>▼ Download Administrator Excel File ▼</v>
      </c>
      <c r="E9" s="348" t="s">
        <v>276</v>
      </c>
      <c r="F9" s="348" t="s">
        <v>293</v>
      </c>
      <c r="G9" s="348" t="s">
        <v>294</v>
      </c>
      <c r="H9" s="348" t="s">
        <v>295</v>
      </c>
    </row>
    <row r="10" spans="1:12">
      <c r="D10" s="348" t="str">
        <f t="shared" si="0"/>
        <v>https://matejero.com/download/admin-world-cup-2026/</v>
      </c>
      <c r="E10" s="348" t="s">
        <v>276</v>
      </c>
      <c r="F10" s="348" t="s">
        <v>296</v>
      </c>
      <c r="G10" s="348" t="s">
        <v>297</v>
      </c>
      <c r="H10" s="348" t="s">
        <v>298</v>
      </c>
    </row>
    <row r="11" spans="1:12">
      <c r="D11" s="348" t="str">
        <f t="shared" si="0"/>
        <v>*Beta version until all participants are known in March 2026</v>
      </c>
      <c r="E11" s="348" t="s">
        <v>276</v>
      </c>
      <c r="G11" s="348" t="s">
        <v>299</v>
      </c>
      <c r="H11" s="348" t="s">
        <v>300</v>
      </c>
    </row>
    <row r="12" spans="1:12">
      <c r="D12" s="348" t="str">
        <f t="shared" si="0"/>
        <v>Donate</v>
      </c>
      <c r="E12" s="348" t="s">
        <v>276</v>
      </c>
      <c r="G12" s="348" t="s">
        <v>301</v>
      </c>
      <c r="H12" s="348" t="s">
        <v>302</v>
      </c>
    </row>
    <row r="14" spans="1:12">
      <c r="B14" s="349"/>
    </row>
    <row r="15" spans="1:12">
      <c r="D15" s="348" t="str">
        <f t="shared" ref="D15:D46" si="1">IF($B$2,G15,H15)</f>
        <v>Select timetable</v>
      </c>
      <c r="E15" s="348" t="s">
        <v>303</v>
      </c>
      <c r="F15" s="348" t="s">
        <v>239</v>
      </c>
      <c r="G15" s="348" t="s">
        <v>304</v>
      </c>
      <c r="H15" s="348" t="s">
        <v>305</v>
      </c>
    </row>
    <row r="16" spans="1:12">
      <c r="D16" s="348" t="str">
        <f t="shared" si="1"/>
        <v>Fill in the gray cells</v>
      </c>
      <c r="E16" s="348" t="s">
        <v>303</v>
      </c>
      <c r="F16" s="348" t="s">
        <v>243</v>
      </c>
      <c r="G16" s="348" t="s">
        <v>306</v>
      </c>
      <c r="H16" s="348" t="s">
        <v>307</v>
      </c>
    </row>
    <row r="17" spans="4:8">
      <c r="D17" s="348" t="str">
        <f t="shared" si="1"/>
        <v>Date</v>
      </c>
      <c r="E17" s="348" t="s">
        <v>303</v>
      </c>
      <c r="F17" s="348" t="s">
        <v>264</v>
      </c>
      <c r="G17" s="348" t="s">
        <v>308</v>
      </c>
      <c r="H17" s="348" t="s">
        <v>309</v>
      </c>
    </row>
    <row r="18" spans="4:8">
      <c r="D18" s="348" t="str">
        <f t="shared" si="1"/>
        <v>Hour</v>
      </c>
      <c r="E18" s="348" t="s">
        <v>303</v>
      </c>
      <c r="F18" s="348" t="s">
        <v>265</v>
      </c>
      <c r="G18" s="348" t="s">
        <v>310</v>
      </c>
      <c r="H18" s="348" t="s">
        <v>311</v>
      </c>
    </row>
    <row r="19" spans="4:8">
      <c r="D19" s="348" t="str">
        <f t="shared" si="1"/>
        <v>R</v>
      </c>
      <c r="E19" s="348" t="s">
        <v>303</v>
      </c>
      <c r="F19" s="348" t="s">
        <v>266</v>
      </c>
      <c r="G19" s="348" t="s">
        <v>312</v>
      </c>
      <c r="H19" s="348" t="s">
        <v>313</v>
      </c>
    </row>
    <row r="20" spans="4:8">
      <c r="D20" s="348" t="str">
        <f t="shared" si="1"/>
        <v>Home</v>
      </c>
      <c r="E20" s="348" t="s">
        <v>303</v>
      </c>
      <c r="F20" s="348" t="s">
        <v>267</v>
      </c>
      <c r="G20" s="348" t="s">
        <v>314</v>
      </c>
      <c r="H20" s="348" t="s">
        <v>315</v>
      </c>
    </row>
    <row r="21" spans="4:8">
      <c r="D21" s="348" t="str">
        <f t="shared" si="1"/>
        <v>Goals</v>
      </c>
      <c r="E21" s="348" t="s">
        <v>303</v>
      </c>
      <c r="F21" s="348" t="s">
        <v>269</v>
      </c>
      <c r="G21" s="348" t="s">
        <v>316</v>
      </c>
      <c r="H21" s="348" t="s">
        <v>215</v>
      </c>
    </row>
    <row r="22" spans="4:8">
      <c r="D22" s="348" t="str">
        <f t="shared" si="1"/>
        <v>Away</v>
      </c>
      <c r="E22" s="348" t="s">
        <v>303</v>
      </c>
      <c r="F22" s="348" t="s">
        <v>317</v>
      </c>
      <c r="G22" s="348" t="s">
        <v>318</v>
      </c>
      <c r="H22" s="348" t="s">
        <v>319</v>
      </c>
    </row>
    <row r="23" spans="4:8">
      <c r="D23" s="348" t="str">
        <f t="shared" si="1"/>
        <v>Group</v>
      </c>
      <c r="E23" s="348" t="s">
        <v>303</v>
      </c>
      <c r="F23" s="348" t="s">
        <v>320</v>
      </c>
      <c r="G23" s="348" t="s">
        <v>321</v>
      </c>
      <c r="H23" s="348" t="s">
        <v>322</v>
      </c>
    </row>
    <row r="24" spans="4:8">
      <c r="D24" s="348" t="str">
        <f t="shared" si="1"/>
        <v>IT'S A TIE! Choose the order of the countries to determine their rankings.</v>
      </c>
      <c r="E24" s="348" t="s">
        <v>303</v>
      </c>
      <c r="F24" s="348" t="s">
        <v>323</v>
      </c>
      <c r="G24" s="348" t="s">
        <v>324</v>
      </c>
      <c r="H24" s="348" t="s">
        <v>325</v>
      </c>
    </row>
    <row r="25" spans="4:8">
      <c r="D25" s="348" t="str">
        <f t="shared" si="1"/>
        <v>IT'S A TIE! Choose the order of the countries to determine their rankings.</v>
      </c>
      <c r="E25" s="348" t="s">
        <v>303</v>
      </c>
      <c r="F25" s="348" t="s">
        <v>326</v>
      </c>
      <c r="G25" s="348" t="s">
        <v>327</v>
      </c>
      <c r="H25" s="348" t="s">
        <v>325</v>
      </c>
    </row>
    <row r="26" spans="4:8">
      <c r="D26" s="348" t="str">
        <f t="shared" si="1"/>
        <v>Best third-place teams (positions 1-8 qualify for next round)</v>
      </c>
      <c r="E26" s="348" t="s">
        <v>303</v>
      </c>
      <c r="F26" s="348" t="s">
        <v>328</v>
      </c>
      <c r="G26" s="348" t="s">
        <v>329</v>
      </c>
      <c r="H26" s="348" t="s">
        <v>330</v>
      </c>
    </row>
    <row r="27" spans="4:8">
      <c r="D27" s="348" t="str">
        <f t="shared" si="1"/>
        <v>Round of 32</v>
      </c>
      <c r="E27" s="348" t="s">
        <v>303</v>
      </c>
      <c r="G27" s="348" t="s">
        <v>331</v>
      </c>
      <c r="H27" s="348" t="s">
        <v>332</v>
      </c>
    </row>
    <row r="28" spans="4:8">
      <c r="D28" s="348" t="str">
        <f t="shared" si="1"/>
        <v>Round of 16</v>
      </c>
      <c r="E28" s="348" t="s">
        <v>303</v>
      </c>
      <c r="F28" s="348" t="s">
        <v>333</v>
      </c>
      <c r="G28" s="348" t="s">
        <v>334</v>
      </c>
      <c r="H28" s="348" t="s">
        <v>335</v>
      </c>
    </row>
    <row r="29" spans="4:8">
      <c r="D29" s="348" t="str">
        <f t="shared" si="1"/>
        <v>Quarterfinals</v>
      </c>
      <c r="E29" s="348" t="s">
        <v>303</v>
      </c>
      <c r="F29" s="348" t="s">
        <v>336</v>
      </c>
      <c r="G29" s="348" t="s">
        <v>337</v>
      </c>
      <c r="H29" s="348" t="s">
        <v>338</v>
      </c>
    </row>
    <row r="30" spans="4:8">
      <c r="D30" s="348" t="str">
        <f t="shared" si="1"/>
        <v>Semifinals</v>
      </c>
      <c r="E30" s="348" t="s">
        <v>303</v>
      </c>
      <c r="F30" s="348" t="s">
        <v>339</v>
      </c>
      <c r="G30" s="348" t="s">
        <v>340</v>
      </c>
      <c r="H30" s="348" t="s">
        <v>341</v>
      </c>
    </row>
    <row r="31" spans="4:8">
      <c r="D31" s="348" t="str">
        <f t="shared" si="1"/>
        <v>3rd-4th place</v>
      </c>
      <c r="E31" s="348" t="s">
        <v>303</v>
      </c>
      <c r="G31" s="348" t="s">
        <v>342</v>
      </c>
      <c r="H31" s="348" t="s">
        <v>343</v>
      </c>
    </row>
    <row r="32" spans="4:8">
      <c r="D32" s="348" t="str">
        <f t="shared" si="1"/>
        <v>Final</v>
      </c>
      <c r="E32" s="348" t="s">
        <v>303</v>
      </c>
      <c r="F32" s="348" t="s">
        <v>344</v>
      </c>
      <c r="G32" s="348" t="s">
        <v>345</v>
      </c>
      <c r="H32" s="348" t="s">
        <v>345</v>
      </c>
    </row>
    <row r="33" spans="4:8">
      <c r="D33" s="348" t="str">
        <f t="shared" si="1"/>
        <v>Winner's circle</v>
      </c>
      <c r="E33" s="348" t="s">
        <v>303</v>
      </c>
      <c r="F33" s="348" t="s">
        <v>346</v>
      </c>
      <c r="G33" s="348" t="s">
        <v>347</v>
      </c>
      <c r="H33" s="348" t="s">
        <v>348</v>
      </c>
    </row>
    <row r="34" spans="4:8">
      <c r="D34" s="348" t="str">
        <f t="shared" si="1"/>
        <v>Winner</v>
      </c>
      <c r="E34" s="348" t="s">
        <v>303</v>
      </c>
      <c r="F34" s="348" t="s">
        <v>349</v>
      </c>
      <c r="G34" s="348" t="s">
        <v>350</v>
      </c>
      <c r="H34" s="348" t="s">
        <v>351</v>
      </c>
    </row>
    <row r="35" spans="4:8">
      <c r="D35" s="348" t="str">
        <f t="shared" si="1"/>
        <v>Runner-up</v>
      </c>
      <c r="E35" s="348" t="s">
        <v>303</v>
      </c>
      <c r="F35" s="348" t="s">
        <v>352</v>
      </c>
      <c r="G35" s="348" t="s">
        <v>353</v>
      </c>
      <c r="H35" s="348" t="s">
        <v>354</v>
      </c>
    </row>
    <row r="36" spans="4:8">
      <c r="D36" s="348" t="str">
        <f t="shared" si="1"/>
        <v>3rd place</v>
      </c>
      <c r="E36" s="348" t="s">
        <v>303</v>
      </c>
      <c r="G36" s="348" t="s">
        <v>355</v>
      </c>
      <c r="H36" s="348" t="s">
        <v>356</v>
      </c>
    </row>
    <row r="37" spans="4:8">
      <c r="D37" s="348" t="str">
        <f t="shared" si="1"/>
        <v>Golden Boot  (Top Scorer)</v>
      </c>
      <c r="E37" s="348" t="s">
        <v>303</v>
      </c>
      <c r="F37" s="348" t="s">
        <v>357</v>
      </c>
      <c r="G37" s="350" t="s">
        <v>358</v>
      </c>
      <c r="H37" s="348" t="s">
        <v>359</v>
      </c>
    </row>
    <row r="38" spans="4:8">
      <c r="D38" s="348" t="str">
        <f t="shared" si="1"/>
        <v>Silver Boot  (2nd Top Scorer)</v>
      </c>
      <c r="E38" s="348" t="s">
        <v>303</v>
      </c>
      <c r="F38" s="348" t="s">
        <v>360</v>
      </c>
      <c r="G38" s="350" t="s">
        <v>361</v>
      </c>
      <c r="H38" s="348" t="s">
        <v>362</v>
      </c>
    </row>
    <row r="39" spans="4:8">
      <c r="D39" s="348" t="str">
        <f t="shared" si="1"/>
        <v>Bronze Boot (3rd Top Scorer)</v>
      </c>
      <c r="G39" s="350" t="s">
        <v>363</v>
      </c>
      <c r="H39" s="348" t="s">
        <v>364</v>
      </c>
    </row>
    <row r="40" spans="4:8">
      <c r="D40" s="348" t="str">
        <f t="shared" si="1"/>
        <v>Golden Ball (Best Player)</v>
      </c>
      <c r="G40" s="350" t="s">
        <v>365</v>
      </c>
      <c r="H40" s="348" t="s">
        <v>366</v>
      </c>
    </row>
    <row r="41" spans="4:8">
      <c r="D41" s="348" t="str">
        <f t="shared" si="1"/>
        <v>Silver Ball (2nd Best Player)</v>
      </c>
      <c r="G41" s="350" t="s">
        <v>367</v>
      </c>
      <c r="H41" s="348" t="s">
        <v>368</v>
      </c>
    </row>
    <row r="42" spans="4:8">
      <c r="D42" s="348" t="str">
        <f t="shared" si="1"/>
        <v>Bronze ball (3rd Best Player)</v>
      </c>
      <c r="G42" s="350" t="s">
        <v>369</v>
      </c>
      <c r="H42" s="348" t="s">
        <v>370</v>
      </c>
    </row>
    <row r="43" spans="4:8">
      <c r="D43" s="348" t="str">
        <f t="shared" si="1"/>
        <v>Write a player</v>
      </c>
      <c r="E43" s="348" t="s">
        <v>303</v>
      </c>
      <c r="F43" s="348" t="s">
        <v>371</v>
      </c>
      <c r="G43" s="348" t="s">
        <v>372</v>
      </c>
      <c r="H43" s="348" t="s">
        <v>373</v>
      </c>
    </row>
    <row r="44" spans="4:8">
      <c r="D44" s="348" t="str">
        <f t="shared" si="1"/>
        <v>Write a player</v>
      </c>
      <c r="E44" s="348" t="s">
        <v>303</v>
      </c>
      <c r="F44" s="348" t="s">
        <v>374</v>
      </c>
      <c r="G44" s="348" t="s">
        <v>372</v>
      </c>
      <c r="H44" s="348" t="s">
        <v>373</v>
      </c>
    </row>
    <row r="45" spans="4:8">
      <c r="D45" s="348" t="str">
        <f t="shared" si="1"/>
        <v>Name</v>
      </c>
      <c r="E45" s="348" t="s">
        <v>303</v>
      </c>
      <c r="F45" s="348" t="s">
        <v>375</v>
      </c>
      <c r="G45" s="348" t="s">
        <v>376</v>
      </c>
      <c r="H45" s="348" t="s">
        <v>377</v>
      </c>
    </row>
    <row r="46" spans="4:8">
      <c r="D46" s="348" t="str">
        <f t="shared" si="1"/>
        <v>Bracket Name</v>
      </c>
      <c r="E46" s="348" t="s">
        <v>303</v>
      </c>
      <c r="F46" s="348" t="s">
        <v>378</v>
      </c>
      <c r="G46" s="348" t="s">
        <v>379</v>
      </c>
      <c r="H46" s="348" t="s">
        <v>380</v>
      </c>
    </row>
    <row r="47" spans="4:8">
      <c r="D47" s="348" t="str">
        <f t="shared" ref="D47:D76" si="2">IF($B$2,G47,H47)</f>
        <v>MISSING ENTRIES!</v>
      </c>
      <c r="E47" s="348" t="s">
        <v>303</v>
      </c>
      <c r="F47" s="348" t="s">
        <v>381</v>
      </c>
      <c r="G47" s="348" t="s">
        <v>382</v>
      </c>
      <c r="H47" s="348" t="s">
        <v>383</v>
      </c>
    </row>
    <row r="48" spans="4:8">
      <c r="D48" s="348" t="str">
        <f t="shared" si="2"/>
        <v>You may have left over some match-ups without prediction or you may have not entered your Bracket's name</v>
      </c>
      <c r="E48" s="348" t="s">
        <v>303</v>
      </c>
      <c r="F48" s="348" t="s">
        <v>384</v>
      </c>
      <c r="G48" s="348" t="s">
        <v>385</v>
      </c>
      <c r="H48" s="348" t="s">
        <v>386</v>
      </c>
    </row>
    <row r="49" spans="4:11">
      <c r="D49" s="348" t="str">
        <f t="shared" si="2"/>
        <v>BRACKET ENTRIES COMPLETE!</v>
      </c>
      <c r="E49" s="348" t="s">
        <v>303</v>
      </c>
      <c r="F49" s="348" t="s">
        <v>387</v>
      </c>
      <c r="G49" s="348" t="s">
        <v>388</v>
      </c>
      <c r="H49" s="348" t="s">
        <v>389</v>
      </c>
    </row>
    <row r="50" spans="4:11">
      <c r="D50" s="348" t="str">
        <f t="shared" si="2"/>
        <v>Save and e-mail spreadsheet</v>
      </c>
      <c r="E50" s="348" t="s">
        <v>303</v>
      </c>
      <c r="F50" s="348" t="s">
        <v>390</v>
      </c>
      <c r="G50" s="348" t="s">
        <v>391</v>
      </c>
      <c r="H50" s="348" t="s">
        <v>392</v>
      </c>
    </row>
    <row r="51" spans="4:11">
      <c r="D51" s="348" t="str">
        <f t="shared" si="2"/>
        <v>Pos</v>
      </c>
      <c r="E51" s="348" t="s">
        <v>303</v>
      </c>
      <c r="F51" s="348" t="s">
        <v>393</v>
      </c>
      <c r="G51" s="348" t="s">
        <v>394</v>
      </c>
      <c r="H51" s="348" t="s">
        <v>394</v>
      </c>
    </row>
    <row r="52" spans="4:11">
      <c r="D52" s="348" t="str">
        <f t="shared" si="2"/>
        <v>Nation</v>
      </c>
      <c r="E52" s="348" t="s">
        <v>303</v>
      </c>
      <c r="F52" s="348" t="s">
        <v>395</v>
      </c>
      <c r="G52" s="348" t="s">
        <v>396</v>
      </c>
      <c r="H52" s="348" t="s">
        <v>397</v>
      </c>
    </row>
    <row r="53" spans="4:11">
      <c r="D53" s="348" t="str">
        <f t="shared" si="2"/>
        <v>Pts</v>
      </c>
      <c r="E53" s="348" t="s">
        <v>303</v>
      </c>
      <c r="F53" s="348" t="s">
        <v>398</v>
      </c>
      <c r="G53" s="348" t="s">
        <v>231</v>
      </c>
      <c r="H53" s="348" t="s">
        <v>231</v>
      </c>
    </row>
    <row r="54" spans="4:11">
      <c r="D54" s="348" t="str">
        <f t="shared" si="2"/>
        <v>P</v>
      </c>
      <c r="E54" s="348" t="s">
        <v>303</v>
      </c>
      <c r="F54" s="348" t="s">
        <v>399</v>
      </c>
      <c r="G54" s="348" t="s">
        <v>132</v>
      </c>
      <c r="H54" s="348" t="s">
        <v>400</v>
      </c>
    </row>
    <row r="55" spans="4:11">
      <c r="D55" s="348" t="str">
        <f t="shared" si="2"/>
        <v>W</v>
      </c>
      <c r="E55" s="348" t="s">
        <v>303</v>
      </c>
      <c r="F55" s="348" t="s">
        <v>401</v>
      </c>
      <c r="G55" s="348" t="s">
        <v>125</v>
      </c>
      <c r="H55" s="348" t="s">
        <v>402</v>
      </c>
    </row>
    <row r="56" spans="4:11">
      <c r="D56" s="348" t="str">
        <f t="shared" si="2"/>
        <v>D</v>
      </c>
      <c r="E56" s="348" t="s">
        <v>303</v>
      </c>
      <c r="F56" s="348" t="s">
        <v>403</v>
      </c>
      <c r="G56" s="348" t="s">
        <v>107</v>
      </c>
      <c r="H56" s="348" t="s">
        <v>98</v>
      </c>
      <c r="K56" s="350"/>
    </row>
    <row r="57" spans="4:11">
      <c r="D57" s="348" t="str">
        <f t="shared" si="2"/>
        <v>L</v>
      </c>
      <c r="E57" s="348" t="s">
        <v>303</v>
      </c>
      <c r="F57" s="348" t="s">
        <v>404</v>
      </c>
      <c r="G57" s="348" t="s">
        <v>400</v>
      </c>
      <c r="H57" s="348" t="s">
        <v>134</v>
      </c>
      <c r="K57" s="350"/>
    </row>
    <row r="58" spans="4:11">
      <c r="D58" s="348" t="str">
        <f t="shared" si="2"/>
        <v>F</v>
      </c>
      <c r="E58" s="348" t="s">
        <v>303</v>
      </c>
      <c r="F58" s="348" t="s">
        <v>405</v>
      </c>
      <c r="G58" s="348" t="s">
        <v>59</v>
      </c>
      <c r="H58" s="348" t="s">
        <v>116</v>
      </c>
      <c r="K58" s="350"/>
    </row>
    <row r="59" spans="4:11">
      <c r="D59" s="348" t="str">
        <f t="shared" si="2"/>
        <v>A</v>
      </c>
      <c r="E59" s="348" t="s">
        <v>303</v>
      </c>
      <c r="F59" s="348" t="s">
        <v>406</v>
      </c>
      <c r="G59" s="348" t="s">
        <v>407</v>
      </c>
      <c r="H59" s="348" t="s">
        <v>20</v>
      </c>
      <c r="K59" s="350"/>
    </row>
    <row r="60" spans="4:11">
      <c r="D60" s="348" t="str">
        <f t="shared" si="2"/>
        <v>GD</v>
      </c>
      <c r="E60" s="348" t="s">
        <v>303</v>
      </c>
      <c r="F60" s="348" t="s">
        <v>408</v>
      </c>
      <c r="G60" s="348" t="s">
        <v>56</v>
      </c>
      <c r="H60" s="348" t="s">
        <v>409</v>
      </c>
      <c r="K60" s="350"/>
    </row>
    <row r="61" spans="4:11">
      <c r="D61" s="348" t="str">
        <f t="shared" si="2"/>
        <v>R1</v>
      </c>
      <c r="E61" s="348" t="s">
        <v>303</v>
      </c>
      <c r="G61" s="348" t="s">
        <v>244</v>
      </c>
      <c r="H61" s="348" t="s">
        <v>410</v>
      </c>
      <c r="K61" s="350"/>
    </row>
    <row r="62" spans="4:11">
      <c r="D62" s="348" t="str">
        <f t="shared" si="2"/>
        <v>R2</v>
      </c>
      <c r="E62" s="348" t="s">
        <v>303</v>
      </c>
      <c r="G62" s="348" t="s">
        <v>256</v>
      </c>
      <c r="H62" s="348" t="s">
        <v>411</v>
      </c>
    </row>
    <row r="63" spans="4:11">
      <c r="D63" s="348" t="str">
        <f t="shared" si="2"/>
        <v>R3</v>
      </c>
      <c r="E63" s="348" t="s">
        <v>303</v>
      </c>
      <c r="G63" s="348" t="s">
        <v>268</v>
      </c>
      <c r="H63" s="348" t="s">
        <v>412</v>
      </c>
    </row>
    <row r="64" spans="4:11">
      <c r="D64" s="348" t="str">
        <f t="shared" si="2"/>
        <v>Show the best third-placed teams before the group stage ends?</v>
      </c>
      <c r="E64" s="348" t="s">
        <v>303</v>
      </c>
      <c r="F64" s="348" t="s">
        <v>413</v>
      </c>
      <c r="G64" s="351" t="s">
        <v>414</v>
      </c>
      <c r="H64" s="348" t="s">
        <v>415</v>
      </c>
    </row>
    <row r="65" spans="3:8">
      <c r="D65" s="348" t="str">
        <f t="shared" si="2"/>
        <v>Yes</v>
      </c>
      <c r="E65" s="348" t="s">
        <v>303</v>
      </c>
      <c r="G65" s="348" t="s">
        <v>416</v>
      </c>
      <c r="H65" s="348" t="s">
        <v>417</v>
      </c>
    </row>
    <row r="66" spans="3:8">
      <c r="D66" s="348" t="str">
        <f t="shared" si="2"/>
        <v>No</v>
      </c>
      <c r="E66" s="348" t="s">
        <v>303</v>
      </c>
      <c r="G66" s="348" t="s">
        <v>18</v>
      </c>
      <c r="H66" s="348" t="s">
        <v>18</v>
      </c>
    </row>
    <row r="67" spans="3:8">
      <c r="D67" s="348" t="str">
        <f t="shared" si="2"/>
        <v>Deducted Points</v>
      </c>
      <c r="E67" s="348" t="s">
        <v>303</v>
      </c>
      <c r="G67" s="348" t="s">
        <v>418</v>
      </c>
      <c r="H67" s="348" t="s">
        <v>419</v>
      </c>
    </row>
    <row r="68" spans="3:8">
      <c r="D68" s="348" t="str">
        <f t="shared" si="2"/>
        <v xml:space="preserve">Best 3-placed groups: </v>
      </c>
      <c r="E68" s="348" t="s">
        <v>303</v>
      </c>
      <c r="G68" s="348" t="s">
        <v>420</v>
      </c>
      <c r="H68" s="348" t="s">
        <v>421</v>
      </c>
    </row>
    <row r="69" spans="3:8">
      <c r="D69" s="348" t="str">
        <f t="shared" si="2"/>
        <v>The ranking of the best third places appears at the end of group stage</v>
      </c>
      <c r="E69" s="348" t="s">
        <v>303</v>
      </c>
      <c r="G69" s="348" t="s">
        <v>422</v>
      </c>
      <c r="H69" s="348" t="s">
        <v>423</v>
      </c>
    </row>
    <row r="70" spans="3:8">
      <c r="D70" s="348" t="str">
        <f t="shared" si="2"/>
        <v>Yes</v>
      </c>
      <c r="E70" s="348" t="s">
        <v>303</v>
      </c>
      <c r="G70" s="348" t="s">
        <v>416</v>
      </c>
      <c r="H70" s="348" t="s">
        <v>417</v>
      </c>
    </row>
    <row r="71" spans="3:8">
      <c r="D71" s="348" t="str">
        <f t="shared" si="2"/>
        <v>No</v>
      </c>
      <c r="E71" s="348" t="s">
        <v>303</v>
      </c>
      <c r="G71" s="348" t="s">
        <v>18</v>
      </c>
      <c r="H71" s="348" t="s">
        <v>18</v>
      </c>
    </row>
    <row r="72" spans="3:8">
      <c r="D72" s="348" t="str">
        <f t="shared" si="2"/>
        <v>Are there penalized teams?</v>
      </c>
      <c r="E72" s="348" t="s">
        <v>303</v>
      </c>
      <c r="G72" s="348" t="s">
        <v>424</v>
      </c>
      <c r="H72" s="348" t="s">
        <v>425</v>
      </c>
    </row>
    <row r="73" spans="3:8">
      <c r="C73" s="348">
        <v>1</v>
      </c>
      <c r="D73" s="348" t="str">
        <f t="shared" si="2"/>
        <v>Normal</v>
      </c>
      <c r="E73" s="348" t="s">
        <v>303</v>
      </c>
      <c r="G73" s="348" t="s">
        <v>426</v>
      </c>
      <c r="H73" s="348" t="s">
        <v>426</v>
      </c>
    </row>
    <row r="74" spans="3:8">
      <c r="C74" s="348">
        <v>2</v>
      </c>
      <c r="D74" s="348" t="str">
        <f t="shared" si="2"/>
        <v>Matches against the bottom team are excluded.</v>
      </c>
      <c r="E74" s="348" t="s">
        <v>303</v>
      </c>
      <c r="G74" s="348" t="s">
        <v>427</v>
      </c>
      <c r="H74" s="348" t="s">
        <v>428</v>
      </c>
    </row>
    <row r="75" spans="3:8">
      <c r="C75" s="348">
        <v>3</v>
      </c>
      <c r="D75" s="348" t="str">
        <f t="shared" si="2"/>
        <v>Average per match</v>
      </c>
      <c r="E75" s="348" t="s">
        <v>303</v>
      </c>
      <c r="G75" s="348" t="s">
        <v>429</v>
      </c>
      <c r="H75" s="348" t="s">
        <v>430</v>
      </c>
    </row>
    <row r="76" spans="3:8">
      <c r="D76" s="348" t="str">
        <f t="shared" si="2"/>
        <v>Select criteria:</v>
      </c>
      <c r="E76" s="348" t="s">
        <v>303</v>
      </c>
      <c r="G76" s="348" t="s">
        <v>431</v>
      </c>
      <c r="H76" s="348" t="s">
        <v>432</v>
      </c>
    </row>
    <row r="77" spans="3:8" ht="15" customHeight="1"/>
    <row r="79" spans="3:8">
      <c r="D79" s="348"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48" t="s">
        <v>433</v>
      </c>
      <c r="F79" s="348" t="s">
        <v>260</v>
      </c>
      <c r="G79" s="348" t="s">
        <v>434</v>
      </c>
      <c r="H79" s="348" t="s">
        <v>435</v>
      </c>
    </row>
    <row r="80" spans="3:8">
      <c r="D80" s="348" t="str">
        <f t="shared" si="3"/>
        <v>Author:</v>
      </c>
      <c r="E80" s="348" t="s">
        <v>433</v>
      </c>
      <c r="F80" s="348" t="s">
        <v>436</v>
      </c>
      <c r="G80" s="348" t="s">
        <v>437</v>
      </c>
      <c r="H80" s="348" t="s">
        <v>438</v>
      </c>
    </row>
    <row r="81" spans="4:8">
      <c r="D81" s="348" t="str">
        <f t="shared" si="3"/>
        <v>Last version:</v>
      </c>
      <c r="E81" s="348" t="s">
        <v>433</v>
      </c>
      <c r="F81" s="348" t="s">
        <v>439</v>
      </c>
      <c r="G81" s="348" t="s">
        <v>440</v>
      </c>
      <c r="H81" s="348" t="s">
        <v>441</v>
      </c>
    </row>
    <row r="82" spans="4:8">
      <c r="D82" s="348" t="str">
        <f t="shared" si="3"/>
        <v>Disclaimer:</v>
      </c>
      <c r="E82" s="348" t="s">
        <v>433</v>
      </c>
      <c r="F82" s="348" t="s">
        <v>248</v>
      </c>
      <c r="G82" s="348" t="s">
        <v>442</v>
      </c>
      <c r="H82" s="348" t="s">
        <v>443</v>
      </c>
    </row>
    <row r="83" spans="4:8">
      <c r="D83" s="348" t="str">
        <f t="shared" si="3"/>
        <v>TO DOWNLOAD, CLICK ON</v>
      </c>
      <c r="E83" s="348" t="s">
        <v>433</v>
      </c>
      <c r="G83" s="348" t="s">
        <v>444</v>
      </c>
      <c r="H83" s="348" t="s">
        <v>445</v>
      </c>
    </row>
    <row r="84" spans="4:8">
      <c r="D84" s="348" t="str">
        <f t="shared" si="3"/>
        <v>· Select the language and time zone</v>
      </c>
      <c r="E84" s="348" t="s">
        <v>433</v>
      </c>
      <c r="G84" s="348" t="s">
        <v>446</v>
      </c>
      <c r="H84" s="348" t="s">
        <v>447</v>
      </c>
    </row>
    <row r="85" spans="4:8">
      <c r="D85" s="348" t="str">
        <f t="shared" si="3"/>
        <v>· If you are going to participate in a pool/sweepstake, write your name</v>
      </c>
      <c r="E85" s="348" t="s">
        <v>433</v>
      </c>
      <c r="G85" s="348" t="s">
        <v>448</v>
      </c>
      <c r="H85" s="348" t="s">
        <v>449</v>
      </c>
    </row>
    <row r="86" spans="4:8">
      <c r="D86" s="348" t="str">
        <f t="shared" si="3"/>
        <v>· If you are going to organize a pool, you can download the administration excel file from here</v>
      </c>
      <c r="E86" s="348" t="s">
        <v>433</v>
      </c>
      <c r="G86" s="348" t="s">
        <v>450</v>
      </c>
      <c r="H86" s="348" t="s">
        <v>451</v>
      </c>
    </row>
    <row r="87" spans="4:8">
      <c r="D87" s="348" t="str">
        <f t="shared" si="3"/>
        <v>· Fill in the grey boxes with the group stage results for each group</v>
      </c>
      <c r="E87" s="348" t="s">
        <v>433</v>
      </c>
      <c r="G87" s="348" t="s">
        <v>452</v>
      </c>
      <c r="H87" s="348" t="s">
        <v>453</v>
      </c>
    </row>
    <row r="88" spans="4:8">
      <c r="D88" s="348" t="str">
        <f t="shared" si="3"/>
        <v>· In case of a tie in the position of a group or in the best third-placed teams, you can select the order of the tied nations</v>
      </c>
      <c r="E88" s="348" t="s">
        <v>433</v>
      </c>
      <c r="G88" s="348" t="s">
        <v>454</v>
      </c>
      <c r="H88" s="348" t="s">
        <v>455</v>
      </c>
    </row>
    <row r="89" spans="4:8">
      <c r="D89" s="348" t="str">
        <f t="shared" si="3"/>
        <v>· Playoffs are set automatically</v>
      </c>
      <c r="E89" s="348" t="s">
        <v>433</v>
      </c>
      <c r="G89" s="348" t="s">
        <v>456</v>
      </c>
      <c r="H89" s="348" t="s">
        <v>457</v>
      </c>
    </row>
    <row r="90" spans="4:8">
      <c r="D90" s="348" t="str">
        <f t="shared" si="3"/>
        <v>· Fill in the results of the knockout stages. In the event of a tie, two cells are opened on the sides to introduce the result of the penalties</v>
      </c>
      <c r="E90" s="348" t="s">
        <v>433</v>
      </c>
      <c r="G90" s="348" t="s">
        <v>458</v>
      </c>
      <c r="H90" s="348" t="s">
        <v>459</v>
      </c>
    </row>
    <row r="91" spans="4:8">
      <c r="D91" s="348" t="str">
        <f t="shared" si="3"/>
        <v>· If you're going to participate in a pool/sweepstake, fill in the best players and top scorers</v>
      </c>
      <c r="E91" s="348" t="s">
        <v>433</v>
      </c>
      <c r="G91" s="348" t="s">
        <v>460</v>
      </c>
      <c r="H91" s="348" t="s">
        <v>461</v>
      </c>
    </row>
    <row r="92" spans="4:8">
      <c r="D92" s="348" t="str">
        <f t="shared" si="3"/>
        <v>· This sheet is independent of the results entered in the WORLDCUP sheet and its use is optional</v>
      </c>
      <c r="E92" s="348" t="s">
        <v>433</v>
      </c>
      <c r="G92" s="348" t="s">
        <v>462</v>
      </c>
      <c r="H92" s="348" t="s">
        <v>463</v>
      </c>
    </row>
    <row r="93" spans="4:8">
      <c r="D93" s="348" t="str">
        <f t="shared" si="3"/>
        <v>· The instructions for use of this sheet are on the same sheet</v>
      </c>
      <c r="E93" s="348" t="s">
        <v>433</v>
      </c>
      <c r="G93" s="348" t="s">
        <v>464</v>
      </c>
      <c r="H93" s="348" t="s">
        <v>465</v>
      </c>
    </row>
    <row r="94" spans="4:8">
      <c r="D94" s="348" t="str">
        <f t="shared" si="3"/>
        <v>· On this sheet you don't have to write anything</v>
      </c>
      <c r="E94" s="348" t="s">
        <v>433</v>
      </c>
      <c r="G94" s="348" t="s">
        <v>466</v>
      </c>
      <c r="H94" s="348" t="s">
        <v>467</v>
      </c>
    </row>
    <row r="95" spans="4:8">
      <c r="D95" s="348" t="str">
        <f t="shared" si="3"/>
        <v>· It is used for the organizer of the sweepstakes to copy these results and paste them into the administrator file</v>
      </c>
      <c r="E95" s="348" t="s">
        <v>433</v>
      </c>
      <c r="G95" s="348" t="s">
        <v>468</v>
      </c>
      <c r="H95" s="348" t="s">
        <v>469</v>
      </c>
    </row>
    <row r="96" spans="4:8">
      <c r="D96" s="348" t="str">
        <f t="shared" si="3"/>
        <v>· This sheet shows a view of all the results entered in the WORLDCUP sheet, nothing is filled in on this sheet.</v>
      </c>
      <c r="E96" s="348" t="s">
        <v>433</v>
      </c>
      <c r="G96" s="348" t="s">
        <v>470</v>
      </c>
      <c r="H96" s="348" t="s">
        <v>471</v>
      </c>
    </row>
    <row r="102" spans="4:16">
      <c r="D102" s="348" t="str">
        <f t="shared" ref="D102:D133" si="4">IF($B$2,G102,H102)</f>
        <v>For the administrator of the pool</v>
      </c>
      <c r="E102" s="348" t="s">
        <v>472</v>
      </c>
      <c r="F102" s="348" t="s">
        <v>237</v>
      </c>
      <c r="G102" s="348" t="s">
        <v>473</v>
      </c>
      <c r="H102" s="348" t="s">
        <v>474</v>
      </c>
    </row>
    <row r="103" spans="4:16">
      <c r="D103" s="348" t="str">
        <f t="shared" si="4"/>
        <v>PLAYER</v>
      </c>
      <c r="E103" s="348" t="s">
        <v>472</v>
      </c>
      <c r="F103" s="348" t="s">
        <v>248</v>
      </c>
      <c r="G103" s="348" t="s">
        <v>475</v>
      </c>
      <c r="H103" s="348" t="s">
        <v>476</v>
      </c>
    </row>
    <row r="104" spans="4:16">
      <c r="D104" s="348" t="str">
        <f t="shared" si="4"/>
        <v>Name</v>
      </c>
      <c r="E104" s="348" t="s">
        <v>472</v>
      </c>
      <c r="F104" s="348" t="s">
        <v>260</v>
      </c>
      <c r="G104" s="348" t="s">
        <v>376</v>
      </c>
      <c r="H104" s="348" t="s">
        <v>377</v>
      </c>
    </row>
    <row r="105" spans="4:16">
      <c r="D105" s="348" t="str">
        <f t="shared" si="4"/>
        <v>PLAYER: DO NOT TOUCH, IT'S AUTOMATIC!</v>
      </c>
      <c r="E105" s="348" t="s">
        <v>472</v>
      </c>
      <c r="F105" s="348" t="s">
        <v>477</v>
      </c>
      <c r="G105" s="348" t="s">
        <v>478</v>
      </c>
      <c r="H105" s="348" t="s">
        <v>479</v>
      </c>
    </row>
    <row r="106" spans="4:16" ht="15" customHeight="1">
      <c r="D106" s="348" t="str">
        <f t="shared" si="4"/>
        <v xml:space="preserve">THE POOL ADMINISTRATOR SHOULD FOLLOW THE INSTRUCTIONS BELOW				</v>
      </c>
      <c r="E106" s="348" t="s">
        <v>472</v>
      </c>
      <c r="F106" s="348" t="s">
        <v>239</v>
      </c>
      <c r="G106" s="348" t="s">
        <v>480</v>
      </c>
      <c r="H106" s="348" t="s">
        <v>481</v>
      </c>
      <c r="I106" s="352"/>
      <c r="K106" s="352"/>
      <c r="L106" s="352"/>
      <c r="M106" s="352"/>
      <c r="N106" s="352"/>
      <c r="O106" s="352"/>
      <c r="P106" s="352"/>
    </row>
    <row r="107" spans="4:16" ht="15" customHeight="1">
      <c r="D107" s="348" t="str">
        <f t="shared" si="4"/>
        <v xml:space="preserve">·If you play the whole tournament at once de golpe select from C5 to C258 and paste in the Administrator template.			</v>
      </c>
      <c r="E107" s="348" t="s">
        <v>472</v>
      </c>
      <c r="F107" s="348" t="s">
        <v>263</v>
      </c>
      <c r="G107" s="353" t="s">
        <v>482</v>
      </c>
      <c r="H107" s="348" t="s">
        <v>483</v>
      </c>
      <c r="I107" s="352"/>
      <c r="K107" s="352"/>
      <c r="L107" s="352"/>
      <c r="M107" s="352"/>
      <c r="N107" s="352"/>
      <c r="O107" s="352"/>
      <c r="P107" s="352"/>
    </row>
    <row r="108" spans="4:16">
      <c r="D108" s="348" t="str">
        <f t="shared" si="4"/>
        <v>·If you play the whole Group Stage at the begining and later the KO rounds select from C5 to C161 and paste in the Administrator template. Also copy and paste values form C253 to C258. For the round of 32 follow the instructions.</v>
      </c>
      <c r="E108" s="348" t="s">
        <v>472</v>
      </c>
      <c r="F108" s="348" t="s">
        <v>484</v>
      </c>
      <c r="G108" s="348" t="s">
        <v>485</v>
      </c>
      <c r="H108" s="348" t="s">
        <v>486</v>
      </c>
    </row>
    <row r="109" spans="4:16" ht="15" customHeight="1">
      <c r="D109" s="348" t="str">
        <f t="shared" si="4"/>
        <v>·If you play by Rounds, follow de instuctions of every round.</v>
      </c>
      <c r="E109" s="348" t="s">
        <v>472</v>
      </c>
      <c r="F109" s="348" t="s">
        <v>487</v>
      </c>
      <c r="G109" s="348" t="s">
        <v>488</v>
      </c>
      <c r="H109" s="348" t="s">
        <v>489</v>
      </c>
      <c r="I109" s="354"/>
      <c r="K109" s="354"/>
      <c r="L109" s="354"/>
    </row>
    <row r="110" spans="4:16">
      <c r="D110" s="348" t="str">
        <f t="shared" si="4"/>
        <v>·For the 1st Round copy from C5 to C29 an paste as values in the Administrator Pool. CAUTION. Also copy and paste values form C253 to C258.</v>
      </c>
      <c r="E110" s="348" t="s">
        <v>472</v>
      </c>
      <c r="F110" s="348" t="s">
        <v>490</v>
      </c>
      <c r="G110" s="348" t="s">
        <v>491</v>
      </c>
      <c r="H110" s="348" t="s">
        <v>492</v>
      </c>
    </row>
    <row r="111" spans="4:16">
      <c r="D111" s="348" t="str">
        <f t="shared" si="4"/>
        <v>·For the 2nd Round copy from C30 to C53 an paste as values in the Administrator Pool.</v>
      </c>
      <c r="E111" s="348" t="s">
        <v>472</v>
      </c>
      <c r="F111" s="348" t="s">
        <v>493</v>
      </c>
      <c r="G111" s="348" t="s">
        <v>494</v>
      </c>
      <c r="H111" s="348" t="s">
        <v>495</v>
      </c>
    </row>
    <row r="112" spans="4:16">
      <c r="D112" s="348" t="str">
        <f t="shared" si="4"/>
        <v>·For the 3rd Round copy from C54 to C161 an paste as values in the Administrator Pool.</v>
      </c>
      <c r="E112" s="348" t="s">
        <v>472</v>
      </c>
      <c r="F112" s="348" t="s">
        <v>496</v>
      </c>
      <c r="G112" s="348" t="s">
        <v>497</v>
      </c>
      <c r="H112" s="348" t="s">
        <v>498</v>
      </c>
    </row>
    <row r="113" spans="4:8">
      <c r="D113" s="348" t="str">
        <f t="shared" si="4"/>
        <v>·If you play the KO rounds at once copy from C164 to C252 and paste in the Administrator template.</v>
      </c>
      <c r="E113" s="348" t="s">
        <v>472</v>
      </c>
      <c r="F113" s="348" t="s">
        <v>499</v>
      </c>
      <c r="G113" s="348" t="s">
        <v>500</v>
      </c>
      <c r="H113" s="348" t="s">
        <v>501</v>
      </c>
    </row>
    <row r="114" spans="4:8">
      <c r="D114" s="348" t="str">
        <f t="shared" si="4"/>
        <v>·If you play de KO phase, round by round, follow the instructions of every KO round.</v>
      </c>
      <c r="E114" s="348" t="s">
        <v>472</v>
      </c>
      <c r="F114" s="348" t="s">
        <v>502</v>
      </c>
      <c r="G114" s="348" t="s">
        <v>503</v>
      </c>
      <c r="H114" s="348" t="s">
        <v>504</v>
      </c>
    </row>
    <row r="115" spans="4:8">
      <c r="D115" s="348" t="str">
        <f t="shared" si="4"/>
        <v>·For de round of 32 matches, copy from C164 to C197 and paste in the administrator template in "Paste Values Round of 32"</v>
      </c>
      <c r="E115" s="348" t="s">
        <v>472</v>
      </c>
      <c r="F115" s="348" t="s">
        <v>505</v>
      </c>
      <c r="G115" s="348" t="s">
        <v>506</v>
      </c>
      <c r="H115" s="348" t="s">
        <v>507</v>
      </c>
    </row>
    <row r="116" spans="4:8">
      <c r="D116" s="348" t="str">
        <f t="shared" si="4"/>
        <v>·For the round of 16 matches, copy from C200 to C217 and paste in the administrator template in "Paste Values Round of 16"</v>
      </c>
      <c r="E116" s="348" t="s">
        <v>472</v>
      </c>
      <c r="F116" s="348" t="s">
        <v>508</v>
      </c>
      <c r="G116" s="348" t="s">
        <v>509</v>
      </c>
      <c r="H116" s="348" t="s">
        <v>510</v>
      </c>
    </row>
    <row r="117" spans="4:8">
      <c r="D117" s="348" t="str">
        <f t="shared" si="4"/>
        <v>·For the round of Quarterfinals matches, copy from C220 to C229 and paste in the administrator template in "Paste Values Quarterfinals"</v>
      </c>
      <c r="E117" s="348" t="s">
        <v>472</v>
      </c>
      <c r="G117" s="348" t="s">
        <v>511</v>
      </c>
      <c r="H117" s="348" t="s">
        <v>512</v>
      </c>
    </row>
    <row r="118" spans="4:8">
      <c r="D118" s="348" t="str">
        <f t="shared" si="4"/>
        <v>·For the round of Semi-Finals matches, copy from C232 to C241 and paste in the administrator template in "Paste Values Semifinals"</v>
      </c>
      <c r="E118" s="348" t="s">
        <v>472</v>
      </c>
      <c r="F118" s="348" t="s">
        <v>513</v>
      </c>
      <c r="G118" s="348" t="s">
        <v>514</v>
      </c>
      <c r="H118" s="348" t="s">
        <v>515</v>
      </c>
    </row>
    <row r="119" spans="4:8">
      <c r="D119" s="348" t="str">
        <f t="shared" si="4"/>
        <v>·For the Final and 3-4 place matches, copy from C244 to C252 and paste in the administrator template in "Paste Values Final"</v>
      </c>
      <c r="E119" s="348" t="s">
        <v>472</v>
      </c>
      <c r="F119" s="348" t="s">
        <v>516</v>
      </c>
      <c r="G119" s="348" t="s">
        <v>517</v>
      </c>
      <c r="H119" s="348" t="s">
        <v>518</v>
      </c>
    </row>
    <row r="120" spans="4:8">
      <c r="D120" s="348" t="str">
        <f t="shared" si="4"/>
        <v>·At the beginning of the competition, if it is done in phases, copy from C253 to C258 and paste it at the end of the player in the administrator file.</v>
      </c>
      <c r="E120" s="348" t="s">
        <v>472</v>
      </c>
      <c r="F120" s="348" t="s">
        <v>519</v>
      </c>
      <c r="G120" s="348" t="s">
        <v>520</v>
      </c>
      <c r="H120" s="348" t="s">
        <v>521</v>
      </c>
    </row>
    <row r="121" spans="4:8">
      <c r="D121" s="348" t="str">
        <f t="shared" si="4"/>
        <v>·Copy from C261 to C258 and paste it in the administrator template in "Paste Values Predictor"</v>
      </c>
      <c r="E121" s="348" t="s">
        <v>472</v>
      </c>
      <c r="G121" s="348" t="s">
        <v>522</v>
      </c>
      <c r="H121" s="348" t="s">
        <v>523</v>
      </c>
    </row>
    <row r="122" spans="4:8">
      <c r="D122" s="348" t="str">
        <f t="shared" si="4"/>
        <v>R1</v>
      </c>
      <c r="E122" s="348" t="s">
        <v>472</v>
      </c>
      <c r="F122" s="348" t="s">
        <v>524</v>
      </c>
      <c r="G122" s="348" t="s">
        <v>244</v>
      </c>
      <c r="H122" s="348" t="s">
        <v>410</v>
      </c>
    </row>
    <row r="123" spans="4:8">
      <c r="D123" s="348" t="str">
        <f t="shared" si="4"/>
        <v>R2</v>
      </c>
      <c r="E123" s="348" t="s">
        <v>472</v>
      </c>
      <c r="F123" s="348" t="s">
        <v>525</v>
      </c>
      <c r="G123" s="348" t="s">
        <v>256</v>
      </c>
      <c r="H123" s="348" t="s">
        <v>411</v>
      </c>
    </row>
    <row r="124" spans="4:8">
      <c r="D124" s="348" t="str">
        <f t="shared" si="4"/>
        <v>R3</v>
      </c>
      <c r="E124" s="348" t="s">
        <v>472</v>
      </c>
      <c r="F124" s="348" t="s">
        <v>526</v>
      </c>
      <c r="G124" s="348" t="s">
        <v>268</v>
      </c>
      <c r="H124" s="348" t="s">
        <v>412</v>
      </c>
    </row>
    <row r="125" spans="4:8">
      <c r="D125" s="348" t="str">
        <f t="shared" si="4"/>
        <v>GROUP STAGE</v>
      </c>
      <c r="E125" s="348" t="s">
        <v>472</v>
      </c>
      <c r="F125" s="348" t="s">
        <v>527</v>
      </c>
      <c r="G125" s="348" t="s">
        <v>528</v>
      </c>
      <c r="H125" s="348" t="s">
        <v>529</v>
      </c>
    </row>
    <row r="126" spans="4:8">
      <c r="D126" s="348" t="str">
        <f t="shared" si="4"/>
        <v>GROUP POSITION</v>
      </c>
      <c r="E126" s="348" t="s">
        <v>472</v>
      </c>
      <c r="F126" s="348" t="s">
        <v>530</v>
      </c>
      <c r="G126" s="348" t="s">
        <v>531</v>
      </c>
      <c r="H126" s="348" t="s">
        <v>532</v>
      </c>
    </row>
    <row r="127" spans="4:8">
      <c r="D127" s="348" t="str">
        <f t="shared" si="4"/>
        <v>QUALIFIED FOR ROUND OF 32</v>
      </c>
      <c r="E127" s="348" t="s">
        <v>472</v>
      </c>
      <c r="F127" s="348" t="s">
        <v>533</v>
      </c>
      <c r="G127" s="348" t="s">
        <v>534</v>
      </c>
      <c r="H127" s="348" t="s">
        <v>535</v>
      </c>
    </row>
    <row r="128" spans="4:8">
      <c r="D128" s="348" t="str">
        <f t="shared" si="4"/>
        <v>ROUND OF 32</v>
      </c>
      <c r="E128" s="348" t="s">
        <v>472</v>
      </c>
      <c r="F128" s="348" t="s">
        <v>536</v>
      </c>
      <c r="G128" s="348" t="s">
        <v>537</v>
      </c>
      <c r="H128" s="348" t="s">
        <v>538</v>
      </c>
    </row>
    <row r="129" spans="4:8">
      <c r="D129" s="348" t="str">
        <f t="shared" si="4"/>
        <v>QUALIFIED FOR ROUND OF 16</v>
      </c>
      <c r="E129" s="348" t="s">
        <v>472</v>
      </c>
      <c r="G129" s="348" t="s">
        <v>539</v>
      </c>
      <c r="H129" s="348" t="s">
        <v>540</v>
      </c>
    </row>
    <row r="130" spans="4:8">
      <c r="D130" s="348" t="str">
        <f t="shared" si="4"/>
        <v>ROUND OF 16</v>
      </c>
      <c r="E130" s="348" t="s">
        <v>472</v>
      </c>
      <c r="G130" s="348" t="s">
        <v>541</v>
      </c>
      <c r="H130" s="348" t="s">
        <v>542</v>
      </c>
    </row>
    <row r="131" spans="4:8">
      <c r="D131" s="348" t="str">
        <f t="shared" si="4"/>
        <v>QUARTER-FINALISTS</v>
      </c>
      <c r="E131" s="348" t="s">
        <v>472</v>
      </c>
      <c r="F131" s="348" t="s">
        <v>543</v>
      </c>
      <c r="G131" s="348" t="s">
        <v>544</v>
      </c>
      <c r="H131" s="348" t="s">
        <v>545</v>
      </c>
    </row>
    <row r="132" spans="4:8">
      <c r="D132" s="348" t="str">
        <f t="shared" si="4"/>
        <v>QUARTERFINALS</v>
      </c>
      <c r="E132" s="348" t="s">
        <v>472</v>
      </c>
      <c r="F132" s="348" t="s">
        <v>546</v>
      </c>
      <c r="G132" s="348" t="s">
        <v>547</v>
      </c>
      <c r="H132" s="348" t="s">
        <v>548</v>
      </c>
    </row>
    <row r="133" spans="4:8">
      <c r="D133" s="348" t="str">
        <f t="shared" si="4"/>
        <v>QUALIFIED FOR SEMIFINALS</v>
      </c>
      <c r="E133" s="348" t="s">
        <v>472</v>
      </c>
      <c r="F133" s="348" t="s">
        <v>549</v>
      </c>
      <c r="G133" s="348" t="s">
        <v>550</v>
      </c>
      <c r="H133" s="348" t="s">
        <v>551</v>
      </c>
    </row>
    <row r="134" spans="4:8">
      <c r="D134" s="348" t="str">
        <f t="shared" ref="D134:D165" si="5">IF($B$2,G134,H134)</f>
        <v>SEMIFINALS</v>
      </c>
      <c r="E134" s="348" t="s">
        <v>472</v>
      </c>
      <c r="F134" s="348" t="s">
        <v>552</v>
      </c>
      <c r="G134" s="348" t="s">
        <v>553</v>
      </c>
      <c r="H134" s="348" t="s">
        <v>554</v>
      </c>
    </row>
    <row r="135" spans="4:8">
      <c r="D135" s="348" t="str">
        <f t="shared" si="5"/>
        <v>QUALIFIED FOR 3rd-4th PLACE</v>
      </c>
      <c r="E135" s="348" t="s">
        <v>472</v>
      </c>
      <c r="G135" s="348" t="s">
        <v>555</v>
      </c>
      <c r="H135" s="348" t="s">
        <v>556</v>
      </c>
    </row>
    <row r="136" spans="4:8">
      <c r="D136" s="348" t="str">
        <f t="shared" si="5"/>
        <v>QUALIFIED FOR THE FINAL</v>
      </c>
      <c r="E136" s="348" t="s">
        <v>472</v>
      </c>
      <c r="F136" s="348" t="s">
        <v>557</v>
      </c>
      <c r="G136" s="348" t="s">
        <v>558</v>
      </c>
      <c r="H136" s="348" t="s">
        <v>559</v>
      </c>
    </row>
    <row r="137" spans="4:8">
      <c r="D137" s="348" t="str">
        <f t="shared" si="5"/>
        <v>3rd-4th place</v>
      </c>
      <c r="E137" s="348" t="s">
        <v>472</v>
      </c>
      <c r="G137" s="348" t="s">
        <v>560</v>
      </c>
      <c r="H137" s="348" t="s">
        <v>343</v>
      </c>
    </row>
    <row r="138" spans="4:8">
      <c r="D138" s="348" t="str">
        <f t="shared" si="5"/>
        <v>FINAL</v>
      </c>
      <c r="E138" s="348" t="s">
        <v>472</v>
      </c>
      <c r="F138" s="348" t="s">
        <v>561</v>
      </c>
      <c r="G138" s="348" t="s">
        <v>562</v>
      </c>
      <c r="H138" s="348" t="s">
        <v>563</v>
      </c>
    </row>
    <row r="139" spans="4:8">
      <c r="D139" s="348" t="str">
        <f t="shared" si="5"/>
        <v>HONOR BOX</v>
      </c>
      <c r="E139" s="348" t="s">
        <v>472</v>
      </c>
      <c r="F139" s="348" t="s">
        <v>564</v>
      </c>
      <c r="G139" s="348" t="s">
        <v>565</v>
      </c>
      <c r="H139" s="348" t="s">
        <v>566</v>
      </c>
    </row>
    <row r="140" spans="4:8">
      <c r="D140" s="348" t="str">
        <f t="shared" si="5"/>
        <v>1st GROUP A</v>
      </c>
      <c r="E140" s="348" t="s">
        <v>472</v>
      </c>
      <c r="F140" s="348" t="s">
        <v>567</v>
      </c>
      <c r="G140" s="348" t="s">
        <v>568</v>
      </c>
      <c r="H140" s="350" t="s">
        <v>569</v>
      </c>
    </row>
    <row r="141" spans="4:8">
      <c r="D141" s="348" t="str">
        <f t="shared" si="5"/>
        <v>2nd GROUP A</v>
      </c>
      <c r="E141" s="348" t="s">
        <v>472</v>
      </c>
      <c r="F141" s="348" t="s">
        <v>570</v>
      </c>
      <c r="G141" s="348" t="s">
        <v>571</v>
      </c>
      <c r="H141" s="350" t="s">
        <v>572</v>
      </c>
    </row>
    <row r="142" spans="4:8">
      <c r="D142" s="348" t="str">
        <f t="shared" si="5"/>
        <v>3rd GROUP A</v>
      </c>
      <c r="E142" s="348" t="s">
        <v>472</v>
      </c>
      <c r="F142" s="348" t="s">
        <v>573</v>
      </c>
      <c r="G142" s="348" t="s">
        <v>574</v>
      </c>
      <c r="H142" s="350" t="s">
        <v>575</v>
      </c>
    </row>
    <row r="143" spans="4:8">
      <c r="D143" s="348" t="str">
        <f t="shared" si="5"/>
        <v>4th GROUP A</v>
      </c>
      <c r="E143" s="348" t="s">
        <v>472</v>
      </c>
      <c r="F143" s="348" t="s">
        <v>576</v>
      </c>
      <c r="G143" s="348" t="s">
        <v>577</v>
      </c>
      <c r="H143" s="350" t="s">
        <v>578</v>
      </c>
    </row>
    <row r="144" spans="4:8">
      <c r="D144" s="348" t="str">
        <f t="shared" si="5"/>
        <v>1st GROUP B</v>
      </c>
      <c r="E144" s="348" t="s">
        <v>472</v>
      </c>
      <c r="F144" s="348" t="s">
        <v>579</v>
      </c>
      <c r="G144" s="348" t="s">
        <v>580</v>
      </c>
      <c r="H144" s="350" t="s">
        <v>581</v>
      </c>
    </row>
    <row r="145" spans="4:8">
      <c r="D145" s="348" t="str">
        <f t="shared" si="5"/>
        <v>2nd GROUP B</v>
      </c>
      <c r="E145" s="348" t="s">
        <v>472</v>
      </c>
      <c r="F145" s="348" t="s">
        <v>582</v>
      </c>
      <c r="G145" s="348" t="s">
        <v>583</v>
      </c>
      <c r="H145" s="350" t="s">
        <v>584</v>
      </c>
    </row>
    <row r="146" spans="4:8">
      <c r="D146" s="348" t="str">
        <f t="shared" si="5"/>
        <v>3rd GROUP B</v>
      </c>
      <c r="E146" s="348" t="s">
        <v>472</v>
      </c>
      <c r="F146" s="348" t="s">
        <v>585</v>
      </c>
      <c r="G146" s="348" t="s">
        <v>586</v>
      </c>
      <c r="H146" s="350" t="s">
        <v>587</v>
      </c>
    </row>
    <row r="147" spans="4:8">
      <c r="D147" s="348" t="str">
        <f t="shared" si="5"/>
        <v>4th GROUP B</v>
      </c>
      <c r="E147" s="348" t="s">
        <v>472</v>
      </c>
      <c r="F147" s="348" t="s">
        <v>588</v>
      </c>
      <c r="G147" s="348" t="s">
        <v>589</v>
      </c>
      <c r="H147" s="350" t="s">
        <v>590</v>
      </c>
    </row>
    <row r="148" spans="4:8">
      <c r="D148" s="348" t="str">
        <f t="shared" si="5"/>
        <v>1st GROUP C</v>
      </c>
      <c r="E148" s="348" t="s">
        <v>472</v>
      </c>
      <c r="F148" s="348" t="s">
        <v>591</v>
      </c>
      <c r="G148" s="348" t="s">
        <v>592</v>
      </c>
      <c r="H148" s="350" t="s">
        <v>593</v>
      </c>
    </row>
    <row r="149" spans="4:8">
      <c r="D149" s="348" t="str">
        <f t="shared" si="5"/>
        <v>2nd GROUP C</v>
      </c>
      <c r="E149" s="348" t="s">
        <v>472</v>
      </c>
      <c r="F149" s="348" t="s">
        <v>594</v>
      </c>
      <c r="G149" s="348" t="s">
        <v>595</v>
      </c>
      <c r="H149" s="350" t="s">
        <v>596</v>
      </c>
    </row>
    <row r="150" spans="4:8">
      <c r="D150" s="348" t="str">
        <f t="shared" si="5"/>
        <v>3rd GROUP C</v>
      </c>
      <c r="E150" s="348" t="s">
        <v>472</v>
      </c>
      <c r="F150" s="348" t="s">
        <v>597</v>
      </c>
      <c r="G150" s="348" t="s">
        <v>598</v>
      </c>
      <c r="H150" s="350" t="s">
        <v>599</v>
      </c>
    </row>
    <row r="151" spans="4:8">
      <c r="D151" s="348" t="str">
        <f t="shared" si="5"/>
        <v>4th GROUP C</v>
      </c>
      <c r="E151" s="348" t="s">
        <v>472</v>
      </c>
      <c r="F151" s="348" t="s">
        <v>600</v>
      </c>
      <c r="G151" s="348" t="s">
        <v>601</v>
      </c>
      <c r="H151" s="350" t="s">
        <v>602</v>
      </c>
    </row>
    <row r="152" spans="4:8">
      <c r="D152" s="348" t="str">
        <f t="shared" si="5"/>
        <v>1st GROUP D</v>
      </c>
      <c r="E152" s="348" t="s">
        <v>472</v>
      </c>
      <c r="F152" s="348" t="s">
        <v>603</v>
      </c>
      <c r="G152" s="348" t="s">
        <v>604</v>
      </c>
      <c r="H152" s="350" t="s">
        <v>605</v>
      </c>
    </row>
    <row r="153" spans="4:8">
      <c r="D153" s="348" t="str">
        <f t="shared" si="5"/>
        <v>2nd GROUP D</v>
      </c>
      <c r="E153" s="348" t="s">
        <v>472</v>
      </c>
      <c r="F153" s="348" t="s">
        <v>606</v>
      </c>
      <c r="G153" s="348" t="s">
        <v>607</v>
      </c>
      <c r="H153" s="350" t="s">
        <v>608</v>
      </c>
    </row>
    <row r="154" spans="4:8">
      <c r="D154" s="348" t="str">
        <f t="shared" si="5"/>
        <v>3rd GROUP D</v>
      </c>
      <c r="E154" s="348" t="s">
        <v>472</v>
      </c>
      <c r="F154" s="348" t="s">
        <v>609</v>
      </c>
      <c r="G154" s="348" t="s">
        <v>610</v>
      </c>
      <c r="H154" s="350" t="s">
        <v>611</v>
      </c>
    </row>
    <row r="155" spans="4:8">
      <c r="D155" s="348" t="str">
        <f t="shared" si="5"/>
        <v>4th GROUP D</v>
      </c>
      <c r="E155" s="348" t="s">
        <v>472</v>
      </c>
      <c r="F155" s="348" t="s">
        <v>612</v>
      </c>
      <c r="G155" s="348" t="s">
        <v>613</v>
      </c>
      <c r="H155" s="350" t="s">
        <v>614</v>
      </c>
    </row>
    <row r="156" spans="4:8">
      <c r="D156" s="348" t="str">
        <f t="shared" si="5"/>
        <v>1st GROUP E</v>
      </c>
      <c r="E156" s="348" t="s">
        <v>472</v>
      </c>
      <c r="F156" s="348" t="s">
        <v>615</v>
      </c>
      <c r="G156" s="348" t="s">
        <v>616</v>
      </c>
      <c r="H156" s="350" t="s">
        <v>617</v>
      </c>
    </row>
    <row r="157" spans="4:8">
      <c r="D157" s="348" t="str">
        <f t="shared" si="5"/>
        <v>2nd GROUP E</v>
      </c>
      <c r="E157" s="348" t="s">
        <v>472</v>
      </c>
      <c r="F157" s="348" t="s">
        <v>618</v>
      </c>
      <c r="G157" s="348" t="s">
        <v>619</v>
      </c>
      <c r="H157" s="350" t="s">
        <v>620</v>
      </c>
    </row>
    <row r="158" spans="4:8">
      <c r="D158" s="348" t="str">
        <f t="shared" si="5"/>
        <v>3rd GROUP E</v>
      </c>
      <c r="E158" s="348" t="s">
        <v>472</v>
      </c>
      <c r="F158" s="348" t="s">
        <v>621</v>
      </c>
      <c r="G158" s="348" t="s">
        <v>622</v>
      </c>
      <c r="H158" s="350" t="s">
        <v>623</v>
      </c>
    </row>
    <row r="159" spans="4:8">
      <c r="D159" s="348" t="str">
        <f t="shared" si="5"/>
        <v>4th GROUP E</v>
      </c>
      <c r="E159" s="348" t="s">
        <v>472</v>
      </c>
      <c r="F159" s="348" t="s">
        <v>624</v>
      </c>
      <c r="G159" s="348" t="s">
        <v>625</v>
      </c>
      <c r="H159" s="350" t="s">
        <v>626</v>
      </c>
    </row>
    <row r="160" spans="4:8">
      <c r="D160" s="348" t="str">
        <f t="shared" si="5"/>
        <v>1st GROUP F</v>
      </c>
      <c r="E160" s="348" t="s">
        <v>472</v>
      </c>
      <c r="F160" s="348" t="s">
        <v>627</v>
      </c>
      <c r="G160" s="348" t="s">
        <v>628</v>
      </c>
      <c r="H160" s="350" t="s">
        <v>629</v>
      </c>
    </row>
    <row r="161" spans="4:8">
      <c r="D161" s="348" t="str">
        <f t="shared" si="5"/>
        <v>2nd GROUP F</v>
      </c>
      <c r="E161" s="348" t="s">
        <v>472</v>
      </c>
      <c r="F161" s="348" t="s">
        <v>630</v>
      </c>
      <c r="G161" s="348" t="s">
        <v>631</v>
      </c>
      <c r="H161" s="350" t="s">
        <v>632</v>
      </c>
    </row>
    <row r="162" spans="4:8">
      <c r="D162" s="348" t="str">
        <f t="shared" si="5"/>
        <v>3rd GROUP F</v>
      </c>
      <c r="E162" s="348" t="s">
        <v>472</v>
      </c>
      <c r="F162" s="348" t="s">
        <v>633</v>
      </c>
      <c r="G162" s="348" t="s">
        <v>634</v>
      </c>
      <c r="H162" s="350" t="s">
        <v>635</v>
      </c>
    </row>
    <row r="163" spans="4:8">
      <c r="D163" s="348" t="str">
        <f t="shared" si="5"/>
        <v>4th GROUP F</v>
      </c>
      <c r="E163" s="348" t="s">
        <v>472</v>
      </c>
      <c r="F163" s="348" t="s">
        <v>636</v>
      </c>
      <c r="G163" s="348" t="s">
        <v>637</v>
      </c>
      <c r="H163" s="350" t="s">
        <v>638</v>
      </c>
    </row>
    <row r="164" spans="4:8">
      <c r="D164" s="348" t="str">
        <f t="shared" si="5"/>
        <v>1st GROUP G</v>
      </c>
      <c r="E164" s="348" t="s">
        <v>472</v>
      </c>
      <c r="G164" s="348" t="s">
        <v>639</v>
      </c>
      <c r="H164" s="350" t="s">
        <v>640</v>
      </c>
    </row>
    <row r="165" spans="4:8">
      <c r="D165" s="348" t="str">
        <f t="shared" si="5"/>
        <v>2nd GROUP G</v>
      </c>
      <c r="E165" s="348" t="s">
        <v>472</v>
      </c>
      <c r="G165" s="348" t="s">
        <v>641</v>
      </c>
      <c r="H165" s="350" t="s">
        <v>642</v>
      </c>
    </row>
    <row r="166" spans="4:8">
      <c r="D166" s="348" t="str">
        <f t="shared" ref="D166:D193" si="6">IF($B$2,G166,H166)</f>
        <v>3rd GROUP G</v>
      </c>
      <c r="E166" s="348" t="s">
        <v>472</v>
      </c>
      <c r="G166" s="348" t="s">
        <v>643</v>
      </c>
      <c r="H166" s="350" t="s">
        <v>644</v>
      </c>
    </row>
    <row r="167" spans="4:8">
      <c r="D167" s="348" t="str">
        <f t="shared" si="6"/>
        <v>4th GROUP G</v>
      </c>
      <c r="E167" s="348" t="s">
        <v>472</v>
      </c>
      <c r="G167" s="348" t="s">
        <v>645</v>
      </c>
      <c r="H167" s="350" t="s">
        <v>646</v>
      </c>
    </row>
    <row r="168" spans="4:8">
      <c r="D168" s="348" t="str">
        <f t="shared" si="6"/>
        <v>1st GROUP H</v>
      </c>
      <c r="E168" s="348" t="s">
        <v>472</v>
      </c>
      <c r="G168" s="348" t="s">
        <v>647</v>
      </c>
      <c r="H168" s="350" t="s">
        <v>648</v>
      </c>
    </row>
    <row r="169" spans="4:8">
      <c r="D169" s="348" t="str">
        <f t="shared" si="6"/>
        <v>2nd GROUP H</v>
      </c>
      <c r="E169" s="348" t="s">
        <v>472</v>
      </c>
      <c r="G169" s="348" t="s">
        <v>649</v>
      </c>
      <c r="H169" s="350" t="s">
        <v>650</v>
      </c>
    </row>
    <row r="170" spans="4:8">
      <c r="D170" s="348" t="str">
        <f t="shared" si="6"/>
        <v>3rd GROUP H</v>
      </c>
      <c r="E170" s="348" t="s">
        <v>472</v>
      </c>
      <c r="G170" s="348" t="s">
        <v>651</v>
      </c>
      <c r="H170" s="350" t="s">
        <v>652</v>
      </c>
    </row>
    <row r="171" spans="4:8">
      <c r="D171" s="348" t="str">
        <f t="shared" si="6"/>
        <v>4th GROUP H</v>
      </c>
      <c r="E171" s="348" t="s">
        <v>472</v>
      </c>
      <c r="G171" s="348" t="s">
        <v>653</v>
      </c>
      <c r="H171" s="350" t="s">
        <v>654</v>
      </c>
    </row>
    <row r="172" spans="4:8">
      <c r="D172" s="348" t="str">
        <f t="shared" si="6"/>
        <v>1st GROUP I</v>
      </c>
      <c r="E172" s="348" t="s">
        <v>472</v>
      </c>
      <c r="G172" s="348" t="s">
        <v>655</v>
      </c>
      <c r="H172" s="350" t="s">
        <v>656</v>
      </c>
    </row>
    <row r="173" spans="4:8">
      <c r="D173" s="348" t="str">
        <f t="shared" si="6"/>
        <v>2nd GROUP I</v>
      </c>
      <c r="E173" s="348" t="s">
        <v>472</v>
      </c>
      <c r="G173" s="348" t="s">
        <v>657</v>
      </c>
      <c r="H173" s="350" t="s">
        <v>658</v>
      </c>
    </row>
    <row r="174" spans="4:8">
      <c r="D174" s="348" t="str">
        <f t="shared" si="6"/>
        <v>3rd GROUP I</v>
      </c>
      <c r="E174" s="348" t="s">
        <v>472</v>
      </c>
      <c r="G174" s="348" t="s">
        <v>659</v>
      </c>
      <c r="H174" s="350" t="s">
        <v>660</v>
      </c>
    </row>
    <row r="175" spans="4:8">
      <c r="D175" s="348" t="str">
        <f t="shared" si="6"/>
        <v>4th GROUP I</v>
      </c>
      <c r="E175" s="348" t="s">
        <v>472</v>
      </c>
      <c r="G175" s="348" t="s">
        <v>661</v>
      </c>
      <c r="H175" s="350" t="s">
        <v>662</v>
      </c>
    </row>
    <row r="176" spans="4:8">
      <c r="D176" s="348" t="str">
        <f t="shared" si="6"/>
        <v>1st GROUP J</v>
      </c>
      <c r="E176" s="348" t="s">
        <v>472</v>
      </c>
      <c r="G176" s="348" t="s">
        <v>663</v>
      </c>
      <c r="H176" s="350" t="s">
        <v>664</v>
      </c>
    </row>
    <row r="177" spans="4:8">
      <c r="D177" s="348" t="str">
        <f t="shared" si="6"/>
        <v>2nd GROUP J</v>
      </c>
      <c r="E177" s="348" t="s">
        <v>472</v>
      </c>
      <c r="G177" s="348" t="s">
        <v>665</v>
      </c>
      <c r="H177" s="350" t="s">
        <v>666</v>
      </c>
    </row>
    <row r="178" spans="4:8">
      <c r="D178" s="348" t="str">
        <f t="shared" si="6"/>
        <v>3rd GROUP J</v>
      </c>
      <c r="E178" s="348" t="s">
        <v>472</v>
      </c>
      <c r="G178" s="348" t="s">
        <v>667</v>
      </c>
      <c r="H178" s="350" t="s">
        <v>668</v>
      </c>
    </row>
    <row r="179" spans="4:8">
      <c r="D179" s="348" t="str">
        <f t="shared" si="6"/>
        <v>4th GROUP J</v>
      </c>
      <c r="E179" s="348" t="s">
        <v>472</v>
      </c>
      <c r="G179" s="348" t="s">
        <v>669</v>
      </c>
      <c r="H179" s="350" t="s">
        <v>670</v>
      </c>
    </row>
    <row r="180" spans="4:8">
      <c r="D180" s="348" t="str">
        <f t="shared" si="6"/>
        <v>1st GROUP K</v>
      </c>
      <c r="E180" s="348" t="s">
        <v>472</v>
      </c>
      <c r="G180" s="348" t="s">
        <v>671</v>
      </c>
      <c r="H180" s="350" t="s">
        <v>672</v>
      </c>
    </row>
    <row r="181" spans="4:8">
      <c r="D181" s="348" t="str">
        <f t="shared" si="6"/>
        <v>2nd GROUP K</v>
      </c>
      <c r="E181" s="348" t="s">
        <v>472</v>
      </c>
      <c r="G181" s="348" t="s">
        <v>673</v>
      </c>
      <c r="H181" s="350" t="s">
        <v>674</v>
      </c>
    </row>
    <row r="182" spans="4:8">
      <c r="D182" s="348" t="str">
        <f t="shared" si="6"/>
        <v>3rd GROUP K</v>
      </c>
      <c r="E182" s="348" t="s">
        <v>472</v>
      </c>
      <c r="G182" s="348" t="s">
        <v>675</v>
      </c>
      <c r="H182" s="350" t="s">
        <v>676</v>
      </c>
    </row>
    <row r="183" spans="4:8">
      <c r="D183" s="348" t="str">
        <f t="shared" si="6"/>
        <v>4th GROUP K</v>
      </c>
      <c r="E183" s="348" t="s">
        <v>472</v>
      </c>
      <c r="G183" s="348" t="s">
        <v>677</v>
      </c>
      <c r="H183" s="350" t="s">
        <v>678</v>
      </c>
    </row>
    <row r="184" spans="4:8">
      <c r="D184" s="348" t="str">
        <f t="shared" si="6"/>
        <v>1st GROUP L</v>
      </c>
      <c r="E184" s="348" t="s">
        <v>472</v>
      </c>
      <c r="G184" s="348" t="s">
        <v>679</v>
      </c>
      <c r="H184" s="350" t="s">
        <v>680</v>
      </c>
    </row>
    <row r="185" spans="4:8">
      <c r="D185" s="348" t="str">
        <f t="shared" si="6"/>
        <v>2nd GROUP L</v>
      </c>
      <c r="E185" s="348" t="s">
        <v>472</v>
      </c>
      <c r="G185" s="348" t="s">
        <v>681</v>
      </c>
      <c r="H185" s="350" t="s">
        <v>682</v>
      </c>
    </row>
    <row r="186" spans="4:8">
      <c r="D186" s="348" t="str">
        <f t="shared" si="6"/>
        <v>3rd GROUP L</v>
      </c>
      <c r="E186" s="348" t="s">
        <v>472</v>
      </c>
      <c r="G186" s="348" t="s">
        <v>683</v>
      </c>
      <c r="H186" s="350" t="s">
        <v>684</v>
      </c>
    </row>
    <row r="187" spans="4:8">
      <c r="D187" s="348" t="str">
        <f t="shared" si="6"/>
        <v>4th GROUP L</v>
      </c>
      <c r="E187" s="348" t="s">
        <v>472</v>
      </c>
      <c r="G187" s="348" t="s">
        <v>685</v>
      </c>
      <c r="H187" s="350" t="s">
        <v>686</v>
      </c>
    </row>
    <row r="188" spans="4:8">
      <c r="D188" s="348" t="str">
        <f t="shared" si="6"/>
        <v>16-Finalist</v>
      </c>
      <c r="E188" s="348" t="s">
        <v>472</v>
      </c>
      <c r="F188" s="348" t="s">
        <v>687</v>
      </c>
      <c r="G188" s="348" t="s">
        <v>688</v>
      </c>
      <c r="H188" s="350" t="s">
        <v>689</v>
      </c>
    </row>
    <row r="189" spans="4:8">
      <c r="D189" s="348" t="str">
        <f t="shared" si="6"/>
        <v>8-Finalist</v>
      </c>
      <c r="E189" s="348" t="s">
        <v>472</v>
      </c>
      <c r="G189" s="348" t="s">
        <v>690</v>
      </c>
      <c r="H189" s="350" t="s">
        <v>691</v>
      </c>
    </row>
    <row r="190" spans="4:8">
      <c r="D190" s="348" t="str">
        <f t="shared" si="6"/>
        <v>Quarterfinalist</v>
      </c>
      <c r="E190" s="348" t="s">
        <v>472</v>
      </c>
      <c r="F190" s="348" t="s">
        <v>692</v>
      </c>
      <c r="G190" s="348" t="s">
        <v>693</v>
      </c>
      <c r="H190" s="350" t="s">
        <v>694</v>
      </c>
    </row>
    <row r="191" spans="4:8">
      <c r="D191" s="348" t="str">
        <f t="shared" si="6"/>
        <v>Semifinalist</v>
      </c>
      <c r="E191" s="348" t="s">
        <v>472</v>
      </c>
      <c r="F191" s="348" t="s">
        <v>695</v>
      </c>
      <c r="G191" s="348" t="s">
        <v>696</v>
      </c>
      <c r="H191" s="350" t="s">
        <v>697</v>
      </c>
    </row>
    <row r="192" spans="4:8">
      <c r="D192" s="348" t="str">
        <f t="shared" si="6"/>
        <v>3rd-4th place</v>
      </c>
      <c r="E192" s="348" t="s">
        <v>472</v>
      </c>
      <c r="G192" s="348" t="s">
        <v>342</v>
      </c>
      <c r="H192" s="350" t="s">
        <v>343</v>
      </c>
    </row>
    <row r="193" spans="2:11">
      <c r="D193" s="348" t="str">
        <f t="shared" si="6"/>
        <v>Finalist</v>
      </c>
      <c r="E193" s="348" t="s">
        <v>472</v>
      </c>
      <c r="F193" s="348" t="s">
        <v>698</v>
      </c>
      <c r="G193" s="348" t="s">
        <v>699</v>
      </c>
      <c r="H193" s="350" t="s">
        <v>700</v>
      </c>
    </row>
    <row r="197" spans="2:11">
      <c r="J197" s="349"/>
      <c r="K197" s="355"/>
    </row>
    <row r="199" spans="2:11">
      <c r="J199" s="349"/>
    </row>
    <row r="201" spans="2:11">
      <c r="C201" s="348" t="s">
        <v>701</v>
      </c>
    </row>
    <row r="202" spans="2:11">
      <c r="B202" s="348">
        <v>1</v>
      </c>
      <c r="C202" s="348">
        <v>17</v>
      </c>
      <c r="D202" s="348" t="str">
        <f t="shared" ref="D202:D249" si="7">IF($B$2,G202,H202)</f>
        <v>Germany</v>
      </c>
      <c r="E202" s="348" t="s">
        <v>702</v>
      </c>
      <c r="F202" s="348" t="s">
        <v>257</v>
      </c>
      <c r="G202" s="348" t="str">
        <f>Credits!EU6119</f>
        <v>Alemania</v>
      </c>
      <c r="H202" s="348" t="str">
        <f>Credits!EV6119</f>
        <v>Germany</v>
      </c>
    </row>
    <row r="203" spans="2:11">
      <c r="B203" s="348">
        <v>2</v>
      </c>
      <c r="C203" s="348">
        <v>31</v>
      </c>
      <c r="D203" s="348" t="str">
        <f t="shared" si="7"/>
        <v>Saudi Arabia</v>
      </c>
      <c r="E203" s="348" t="s">
        <v>702</v>
      </c>
      <c r="F203" s="348" t="s">
        <v>269</v>
      </c>
      <c r="G203" s="348" t="str">
        <f>Credits!EU6120</f>
        <v>Arabia Saudita</v>
      </c>
      <c r="H203" s="348" t="str">
        <f>Credits!EV6120</f>
        <v>Saudi Arabia</v>
      </c>
    </row>
    <row r="204" spans="2:11">
      <c r="B204" s="348">
        <v>3</v>
      </c>
      <c r="C204" s="348">
        <v>38</v>
      </c>
      <c r="D204" s="348" t="str">
        <f t="shared" si="7"/>
        <v>Algeria</v>
      </c>
      <c r="E204" s="348" t="s">
        <v>702</v>
      </c>
      <c r="F204" s="348" t="s">
        <v>703</v>
      </c>
      <c r="G204" s="348" t="str">
        <f>Credits!EU6121</f>
        <v>Argelia</v>
      </c>
      <c r="H204" s="348" t="str">
        <f>Credits!EV6121</f>
        <v>Algeria</v>
      </c>
    </row>
    <row r="205" spans="2:11">
      <c r="B205" s="348">
        <v>4</v>
      </c>
      <c r="C205" s="348">
        <v>37</v>
      </c>
      <c r="D205" s="348" t="str">
        <f t="shared" si="7"/>
        <v>Argentina</v>
      </c>
      <c r="E205" s="348" t="s">
        <v>702</v>
      </c>
      <c r="F205" s="348" t="s">
        <v>704</v>
      </c>
      <c r="G205" s="348" t="str">
        <f>Credits!EU6122</f>
        <v>Argentina</v>
      </c>
      <c r="H205" s="348" t="str">
        <f>Credits!EV6122</f>
        <v>Argentina</v>
      </c>
    </row>
    <row r="206" spans="2:11">
      <c r="B206" s="348">
        <v>5</v>
      </c>
      <c r="C206" s="348">
        <v>15</v>
      </c>
      <c r="D206" s="348" t="str">
        <f t="shared" si="7"/>
        <v>Australia</v>
      </c>
      <c r="E206" s="348" t="s">
        <v>702</v>
      </c>
      <c r="F206" s="348" t="s">
        <v>705</v>
      </c>
      <c r="G206" s="348" t="str">
        <f>Credits!EU6123</f>
        <v>Australia</v>
      </c>
      <c r="H206" s="348" t="str">
        <f>Credits!EV6123</f>
        <v>Australia</v>
      </c>
    </row>
    <row r="207" spans="2:11">
      <c r="B207" s="348">
        <v>6</v>
      </c>
      <c r="C207" s="348">
        <v>39</v>
      </c>
      <c r="D207" s="348" t="str">
        <f t="shared" si="7"/>
        <v>Austria</v>
      </c>
      <c r="E207" s="348" t="s">
        <v>702</v>
      </c>
      <c r="F207" s="348" t="s">
        <v>706</v>
      </c>
      <c r="G207" s="348" t="str">
        <f>Credits!EU6124</f>
        <v>Austria</v>
      </c>
      <c r="H207" s="348" t="str">
        <f>Credits!EV6124</f>
        <v>Austria</v>
      </c>
    </row>
    <row r="208" spans="2:11">
      <c r="B208" s="348">
        <v>7</v>
      </c>
      <c r="C208" s="348">
        <v>25</v>
      </c>
      <c r="D208" s="348" t="str">
        <f t="shared" si="7"/>
        <v>Belgium</v>
      </c>
      <c r="E208" s="348" t="s">
        <v>702</v>
      </c>
      <c r="F208" s="348" t="s">
        <v>707</v>
      </c>
      <c r="G208" s="348" t="str">
        <f>Credits!EU6125</f>
        <v>Bélgica</v>
      </c>
      <c r="H208" s="348" t="str">
        <f>Credits!EV6125</f>
        <v>Belgium</v>
      </c>
    </row>
    <row r="209" spans="2:8">
      <c r="B209" s="348">
        <v>8</v>
      </c>
      <c r="C209" s="348">
        <v>9</v>
      </c>
      <c r="D209" s="348" t="str">
        <f t="shared" si="7"/>
        <v>Brazil</v>
      </c>
      <c r="E209" s="348" t="s">
        <v>702</v>
      </c>
      <c r="F209" s="348" t="s">
        <v>708</v>
      </c>
      <c r="G209" s="348" t="str">
        <f>Credits!EU6126</f>
        <v>Brasil</v>
      </c>
      <c r="H209" s="348" t="str">
        <f>Credits!EV6126</f>
        <v>Brazil</v>
      </c>
    </row>
    <row r="210" spans="2:8">
      <c r="B210" s="348">
        <v>9</v>
      </c>
      <c r="C210" s="348">
        <v>30</v>
      </c>
      <c r="D210" s="348" t="str">
        <f t="shared" si="7"/>
        <v>Cape Verde</v>
      </c>
      <c r="E210" s="348" t="s">
        <v>702</v>
      </c>
      <c r="F210" s="348" t="s">
        <v>709</v>
      </c>
      <c r="G210" s="348" t="str">
        <f>Credits!EU6127</f>
        <v>Cabo Verde</v>
      </c>
      <c r="H210" s="348" t="str">
        <f>Credits!EV6127</f>
        <v>Cape Verde</v>
      </c>
    </row>
    <row r="211" spans="2:8">
      <c r="B211" s="348">
        <v>10</v>
      </c>
      <c r="C211" s="348">
        <v>5</v>
      </c>
      <c r="D211" s="348" t="str">
        <f t="shared" si="7"/>
        <v>Canada</v>
      </c>
      <c r="E211" s="348" t="s">
        <v>702</v>
      </c>
      <c r="F211" s="348" t="s">
        <v>710</v>
      </c>
      <c r="G211" s="348" t="str">
        <f>Credits!EU6128</f>
        <v>Canadá</v>
      </c>
      <c r="H211" s="348" t="str">
        <f>Credits!EV6128</f>
        <v>Canada</v>
      </c>
    </row>
    <row r="212" spans="2:8">
      <c r="B212" s="348">
        <v>11</v>
      </c>
      <c r="C212" s="348">
        <v>7</v>
      </c>
      <c r="D212" s="348" t="str">
        <f t="shared" si="7"/>
        <v>Qatar</v>
      </c>
      <c r="E212" s="348" t="s">
        <v>702</v>
      </c>
      <c r="F212" s="348" t="s">
        <v>711</v>
      </c>
      <c r="G212" s="348" t="str">
        <f>Credits!EU6129</f>
        <v>Catar</v>
      </c>
      <c r="H212" s="348" t="str">
        <f>Credits!EV6129</f>
        <v>Qatar</v>
      </c>
    </row>
    <row r="213" spans="2:8">
      <c r="B213" s="348">
        <v>12</v>
      </c>
      <c r="C213" s="348">
        <v>44</v>
      </c>
      <c r="D213" s="348" t="str">
        <f t="shared" si="7"/>
        <v>Colombia</v>
      </c>
      <c r="E213" s="348" t="s">
        <v>702</v>
      </c>
      <c r="F213" s="348" t="s">
        <v>712</v>
      </c>
      <c r="G213" s="348" t="str">
        <f>Credits!EU6130</f>
        <v>Colombia</v>
      </c>
      <c r="H213" s="348" t="str">
        <f>Credits!EV6130</f>
        <v>Colombia</v>
      </c>
    </row>
    <row r="214" spans="2:8">
      <c r="B214" s="348">
        <v>13</v>
      </c>
      <c r="C214" s="348">
        <v>3</v>
      </c>
      <c r="D214" s="348" t="str">
        <f t="shared" si="7"/>
        <v>South Korea</v>
      </c>
      <c r="E214" s="348" t="s">
        <v>702</v>
      </c>
      <c r="F214" s="348" t="s">
        <v>713</v>
      </c>
      <c r="G214" s="348" t="str">
        <f>Credits!EU6131</f>
        <v>Corea del Sur</v>
      </c>
      <c r="H214" s="348" t="str">
        <f>Credits!EV6131</f>
        <v>South Korea</v>
      </c>
    </row>
    <row r="215" spans="2:8">
      <c r="B215" s="348">
        <v>14</v>
      </c>
      <c r="C215" s="348">
        <v>19</v>
      </c>
      <c r="D215" s="348" t="str">
        <f t="shared" si="7"/>
        <v>Ivory Coast</v>
      </c>
      <c r="E215" s="348" t="s">
        <v>702</v>
      </c>
      <c r="F215" s="348" t="s">
        <v>714</v>
      </c>
      <c r="G215" s="348" t="str">
        <f>Credits!EU6132</f>
        <v>Costa de Marfil</v>
      </c>
      <c r="H215" s="348" t="str">
        <f>Credits!EV6132</f>
        <v>Ivory Coast</v>
      </c>
    </row>
    <row r="216" spans="2:8">
      <c r="B216" s="348">
        <v>15</v>
      </c>
      <c r="C216" s="348">
        <v>46</v>
      </c>
      <c r="D216" s="348" t="str">
        <f t="shared" si="7"/>
        <v>Croatia</v>
      </c>
      <c r="E216" s="348" t="s">
        <v>702</v>
      </c>
      <c r="F216" s="348" t="s">
        <v>715</v>
      </c>
      <c r="G216" s="348" t="str">
        <f>Credits!EU6133</f>
        <v>Croacia</v>
      </c>
      <c r="H216" s="348" t="str">
        <f>Credits!EV6133</f>
        <v>Croatia</v>
      </c>
    </row>
    <row r="217" spans="2:8">
      <c r="B217" s="348">
        <v>16</v>
      </c>
      <c r="C217" s="348">
        <v>18</v>
      </c>
      <c r="D217" s="348" t="str">
        <f t="shared" si="7"/>
        <v>Curaçao</v>
      </c>
      <c r="E217" s="348" t="s">
        <v>702</v>
      </c>
      <c r="F217" s="348" t="s">
        <v>716</v>
      </c>
      <c r="G217" s="348" t="str">
        <f>Credits!EU6134</f>
        <v>Curazao</v>
      </c>
      <c r="H217" s="348" t="str">
        <f>Credits!EV6134</f>
        <v>Curaçao</v>
      </c>
    </row>
    <row r="218" spans="2:8">
      <c r="B218" s="348">
        <v>17</v>
      </c>
      <c r="C218" s="348">
        <v>20</v>
      </c>
      <c r="D218" s="348" t="str">
        <f t="shared" si="7"/>
        <v>Ecuador</v>
      </c>
      <c r="E218" s="348" t="s">
        <v>702</v>
      </c>
      <c r="F218" s="348" t="s">
        <v>717</v>
      </c>
      <c r="G218" s="348" t="str">
        <f>Credits!EU6135</f>
        <v>Ecuador</v>
      </c>
      <c r="H218" s="348" t="str">
        <f>Credits!EV6135</f>
        <v>Ecuador</v>
      </c>
    </row>
    <row r="219" spans="2:8">
      <c r="B219" s="348">
        <v>18</v>
      </c>
      <c r="C219" s="348">
        <v>26</v>
      </c>
      <c r="D219" s="348" t="str">
        <f t="shared" si="7"/>
        <v>Egypt</v>
      </c>
      <c r="E219" s="348" t="s">
        <v>702</v>
      </c>
      <c r="F219" s="348" t="s">
        <v>718</v>
      </c>
      <c r="G219" s="348" t="str">
        <f>Credits!EU6136</f>
        <v>Egipto</v>
      </c>
      <c r="H219" s="348" t="str">
        <f>Credits!EV6136</f>
        <v>Egypt</v>
      </c>
    </row>
    <row r="220" spans="2:8">
      <c r="B220" s="348">
        <v>19</v>
      </c>
      <c r="C220" s="348">
        <v>12</v>
      </c>
      <c r="D220" s="348" t="str">
        <f t="shared" si="7"/>
        <v>Scotland</v>
      </c>
      <c r="E220" s="348" t="s">
        <v>702</v>
      </c>
      <c r="F220" s="348" t="s">
        <v>719</v>
      </c>
      <c r="G220" s="348" t="str">
        <f>Credits!EU6137</f>
        <v>Escocia</v>
      </c>
      <c r="H220" s="348" t="str">
        <f>Credits!EV6137</f>
        <v>Scotland</v>
      </c>
    </row>
    <row r="221" spans="2:8">
      <c r="B221" s="348">
        <v>20</v>
      </c>
      <c r="C221" s="348">
        <v>29</v>
      </c>
      <c r="D221" s="348" t="str">
        <f t="shared" si="7"/>
        <v>Spain</v>
      </c>
      <c r="E221" s="348" t="s">
        <v>702</v>
      </c>
      <c r="F221" s="348" t="s">
        <v>720</v>
      </c>
      <c r="G221" s="348" t="str">
        <f>Credits!EU6138</f>
        <v>España</v>
      </c>
      <c r="H221" s="348" t="str">
        <f>Credits!EV6138</f>
        <v>Spain</v>
      </c>
    </row>
    <row r="222" spans="2:8">
      <c r="B222" s="348">
        <v>21</v>
      </c>
      <c r="C222" s="348">
        <v>13</v>
      </c>
      <c r="D222" s="348" t="str">
        <f t="shared" si="7"/>
        <v>United States</v>
      </c>
      <c r="E222" s="348" t="s">
        <v>702</v>
      </c>
      <c r="F222" s="348" t="s">
        <v>721</v>
      </c>
      <c r="G222" s="348" t="str">
        <f>Credits!EU6139</f>
        <v>Estados Unidos</v>
      </c>
      <c r="H222" s="348" t="str">
        <f>Credits!EV6139</f>
        <v>United States</v>
      </c>
    </row>
    <row r="223" spans="2:8">
      <c r="B223" s="348">
        <v>22</v>
      </c>
      <c r="C223" s="348">
        <v>33</v>
      </c>
      <c r="D223" s="348" t="str">
        <f t="shared" si="7"/>
        <v>France</v>
      </c>
      <c r="E223" s="348" t="s">
        <v>702</v>
      </c>
      <c r="F223" s="348" t="s">
        <v>722</v>
      </c>
      <c r="G223" s="348" t="str">
        <f>Credits!EU6140</f>
        <v>Francia</v>
      </c>
      <c r="H223" s="348" t="str">
        <f>Credits!EV6140</f>
        <v>France</v>
      </c>
    </row>
    <row r="224" spans="2:8">
      <c r="B224" s="348">
        <v>23</v>
      </c>
      <c r="C224" s="348">
        <v>47</v>
      </c>
      <c r="D224" s="348" t="str">
        <f t="shared" si="7"/>
        <v>Ghana</v>
      </c>
      <c r="E224" s="348" t="s">
        <v>702</v>
      </c>
      <c r="F224" s="348" t="s">
        <v>723</v>
      </c>
      <c r="G224" s="348" t="str">
        <f>Credits!EU6141</f>
        <v>Ghana</v>
      </c>
      <c r="H224" s="348" t="str">
        <f>Credits!EV6141</f>
        <v>Ghana</v>
      </c>
    </row>
    <row r="225" spans="2:8">
      <c r="B225" s="348">
        <v>24</v>
      </c>
      <c r="C225" s="348">
        <v>11</v>
      </c>
      <c r="D225" s="348" t="str">
        <f t="shared" si="7"/>
        <v>Haiti</v>
      </c>
      <c r="E225" s="348" t="s">
        <v>702</v>
      </c>
      <c r="F225" s="348" t="s">
        <v>724</v>
      </c>
      <c r="G225" s="348" t="str">
        <f>Credits!EU6142</f>
        <v>Haití</v>
      </c>
      <c r="H225" s="348" t="str">
        <f>Credits!EV6142</f>
        <v>Haiti</v>
      </c>
    </row>
    <row r="226" spans="2:8">
      <c r="B226" s="348">
        <v>25</v>
      </c>
      <c r="C226" s="348">
        <v>45</v>
      </c>
      <c r="D226" s="348" t="str">
        <f t="shared" si="7"/>
        <v>England</v>
      </c>
      <c r="E226" s="348" t="s">
        <v>702</v>
      </c>
      <c r="F226" s="348" t="s">
        <v>725</v>
      </c>
      <c r="G226" s="348" t="str">
        <f>Credits!EU6143</f>
        <v>Inglaterra</v>
      </c>
      <c r="H226" s="348" t="str">
        <f>Credits!EV6143</f>
        <v>England</v>
      </c>
    </row>
    <row r="227" spans="2:8">
      <c r="B227" s="348">
        <v>26</v>
      </c>
      <c r="C227" s="348">
        <v>27</v>
      </c>
      <c r="D227" s="348" t="str">
        <f t="shared" si="7"/>
        <v>Iran</v>
      </c>
      <c r="E227" s="348" t="s">
        <v>702</v>
      </c>
      <c r="F227" s="348" t="s">
        <v>726</v>
      </c>
      <c r="G227" s="348" t="str">
        <f>Credits!EU6144</f>
        <v>Irán</v>
      </c>
      <c r="H227" s="348" t="str">
        <f>Credits!EV6144</f>
        <v>Iran</v>
      </c>
    </row>
    <row r="228" spans="2:8">
      <c r="B228" s="348">
        <v>27</v>
      </c>
      <c r="C228" s="348">
        <v>22</v>
      </c>
      <c r="D228" s="348" t="str">
        <f t="shared" si="7"/>
        <v>Japan</v>
      </c>
      <c r="E228" s="348" t="s">
        <v>702</v>
      </c>
      <c r="F228" s="348" t="s">
        <v>727</v>
      </c>
      <c r="G228" s="348" t="str">
        <f>Credits!EU6145</f>
        <v>Japón</v>
      </c>
      <c r="H228" s="348" t="str">
        <f>Credits!EV6145</f>
        <v>Japan</v>
      </c>
    </row>
    <row r="229" spans="2:8">
      <c r="B229" s="348">
        <v>28</v>
      </c>
      <c r="C229" s="348">
        <v>40</v>
      </c>
      <c r="D229" s="348" t="str">
        <f t="shared" si="7"/>
        <v>Jordan</v>
      </c>
      <c r="E229" s="348" t="s">
        <v>702</v>
      </c>
      <c r="F229" s="348" t="s">
        <v>728</v>
      </c>
      <c r="G229" s="348" t="str">
        <f>Credits!EU6146</f>
        <v>Jordania</v>
      </c>
      <c r="H229" s="348" t="str">
        <f>Credits!EV6146</f>
        <v>Jordan</v>
      </c>
    </row>
    <row r="230" spans="2:8">
      <c r="B230" s="348">
        <v>29</v>
      </c>
      <c r="C230" s="348">
        <v>10</v>
      </c>
      <c r="D230" s="348" t="str">
        <f t="shared" si="7"/>
        <v>Morocco</v>
      </c>
      <c r="E230" s="348" t="s">
        <v>702</v>
      </c>
      <c r="F230" s="348" t="s">
        <v>729</v>
      </c>
      <c r="G230" s="348" t="str">
        <f>Credits!EU6147</f>
        <v>Marruecos</v>
      </c>
      <c r="H230" s="348" t="str">
        <f>Credits!EV6147</f>
        <v>Morocco</v>
      </c>
    </row>
    <row r="231" spans="2:8">
      <c r="B231" s="348">
        <v>30</v>
      </c>
      <c r="C231" s="348">
        <v>1</v>
      </c>
      <c r="D231" s="348" t="str">
        <f t="shared" si="7"/>
        <v>Mexico</v>
      </c>
      <c r="E231" s="348" t="s">
        <v>702</v>
      </c>
      <c r="F231" s="348" t="s">
        <v>730</v>
      </c>
      <c r="G231" s="348" t="str">
        <f>Credits!EU6148</f>
        <v>México</v>
      </c>
      <c r="H231" s="348" t="str">
        <f>Credits!EV6148</f>
        <v>Mexico</v>
      </c>
    </row>
    <row r="232" spans="2:8">
      <c r="B232" s="348">
        <v>31</v>
      </c>
      <c r="C232" s="348">
        <v>36</v>
      </c>
      <c r="D232" s="348" t="str">
        <f t="shared" si="7"/>
        <v>Norway</v>
      </c>
      <c r="E232" s="348" t="s">
        <v>702</v>
      </c>
      <c r="F232" s="348" t="s">
        <v>731</v>
      </c>
      <c r="G232" s="348" t="str">
        <f>Credits!EU6149</f>
        <v>Noruega</v>
      </c>
      <c r="H232" s="348" t="str">
        <f>Credits!EV6149</f>
        <v>Norway</v>
      </c>
    </row>
    <row r="233" spans="2:8">
      <c r="B233" s="348">
        <v>32</v>
      </c>
      <c r="C233" s="348">
        <v>28</v>
      </c>
      <c r="D233" s="348" t="str">
        <f t="shared" si="7"/>
        <v>New Zealand</v>
      </c>
      <c r="E233" s="348" t="s">
        <v>702</v>
      </c>
      <c r="F233" s="348" t="s">
        <v>732</v>
      </c>
      <c r="G233" s="348" t="str">
        <f>Credits!EU6150</f>
        <v>Nueva Zelanda</v>
      </c>
      <c r="H233" s="348" t="str">
        <f>Credits!EV6150</f>
        <v>New Zealand</v>
      </c>
    </row>
    <row r="234" spans="2:8">
      <c r="B234" s="348">
        <v>33</v>
      </c>
      <c r="C234" s="348">
        <v>21</v>
      </c>
      <c r="D234" s="348" t="str">
        <f t="shared" si="7"/>
        <v>Netherlands</v>
      </c>
      <c r="E234" s="348" t="s">
        <v>702</v>
      </c>
      <c r="F234" s="348" t="s">
        <v>733</v>
      </c>
      <c r="G234" s="348" t="str">
        <f>Credits!EU6151</f>
        <v>Países Bajos</v>
      </c>
      <c r="H234" s="348" t="str">
        <f>Credits!EV6151</f>
        <v>Netherlands</v>
      </c>
    </row>
    <row r="235" spans="2:8">
      <c r="B235" s="348">
        <v>34</v>
      </c>
      <c r="C235" s="348">
        <v>48</v>
      </c>
      <c r="D235" s="348" t="str">
        <f t="shared" si="7"/>
        <v>Panama</v>
      </c>
      <c r="E235" s="348" t="s">
        <v>702</v>
      </c>
      <c r="F235" s="348" t="s">
        <v>734</v>
      </c>
      <c r="G235" s="348" t="str">
        <f>Credits!EU6152</f>
        <v>Panamá</v>
      </c>
      <c r="H235" s="348" t="str">
        <f>Credits!EV6152</f>
        <v>Panama</v>
      </c>
    </row>
    <row r="236" spans="2:8">
      <c r="B236" s="348">
        <v>35</v>
      </c>
      <c r="C236" s="348">
        <v>14</v>
      </c>
      <c r="D236" s="348" t="str">
        <f t="shared" si="7"/>
        <v>Paraguay</v>
      </c>
      <c r="E236" s="348" t="s">
        <v>702</v>
      </c>
      <c r="F236" s="348" t="s">
        <v>735</v>
      </c>
      <c r="G236" s="348" t="str">
        <f>Credits!EU6153</f>
        <v>Paraguay</v>
      </c>
      <c r="H236" s="348" t="str">
        <f>Credits!EV6153</f>
        <v>Paraguay</v>
      </c>
    </row>
    <row r="237" spans="2:8">
      <c r="B237" s="348">
        <v>36</v>
      </c>
      <c r="C237" s="348">
        <v>41</v>
      </c>
      <c r="D237" s="348" t="str">
        <f t="shared" si="7"/>
        <v>Portugal</v>
      </c>
      <c r="E237" s="348" t="s">
        <v>702</v>
      </c>
      <c r="F237" s="348" t="s">
        <v>736</v>
      </c>
      <c r="G237" s="348" t="str">
        <f>Credits!EU6154</f>
        <v>Portugal</v>
      </c>
      <c r="H237" s="348" t="str">
        <f>Credits!EV6154</f>
        <v>Portugal</v>
      </c>
    </row>
    <row r="238" spans="2:8">
      <c r="B238" s="348">
        <v>37</v>
      </c>
      <c r="C238" s="348">
        <v>34</v>
      </c>
      <c r="D238" s="348" t="str">
        <f t="shared" si="7"/>
        <v>Senegal</v>
      </c>
      <c r="E238" s="348" t="s">
        <v>702</v>
      </c>
      <c r="F238" s="348" t="s">
        <v>737</v>
      </c>
      <c r="G238" s="348" t="str">
        <f>Credits!EU6155</f>
        <v>Senegal</v>
      </c>
      <c r="H238" s="348" t="str">
        <f>Credits!EV6155</f>
        <v>Senegal</v>
      </c>
    </row>
    <row r="239" spans="2:8">
      <c r="B239" s="348">
        <v>38</v>
      </c>
      <c r="C239" s="348">
        <v>2</v>
      </c>
      <c r="D239" s="348" t="str">
        <f t="shared" si="7"/>
        <v>South Africa</v>
      </c>
      <c r="E239" s="348" t="s">
        <v>702</v>
      </c>
      <c r="F239" s="348" t="s">
        <v>738</v>
      </c>
      <c r="G239" s="348" t="str">
        <f>Credits!EU6156</f>
        <v>Sudáfrica</v>
      </c>
      <c r="H239" s="348" t="str">
        <f>Credits!EV6156</f>
        <v>South Africa</v>
      </c>
    </row>
    <row r="240" spans="2:8">
      <c r="B240" s="348">
        <v>39</v>
      </c>
      <c r="C240" s="348">
        <v>8</v>
      </c>
      <c r="D240" s="348" t="str">
        <f t="shared" si="7"/>
        <v>Switzerland</v>
      </c>
      <c r="E240" s="348" t="s">
        <v>702</v>
      </c>
      <c r="F240" s="348" t="s">
        <v>739</v>
      </c>
      <c r="G240" s="348" t="str">
        <f>Credits!EU6157</f>
        <v>Suiza</v>
      </c>
      <c r="H240" s="348" t="str">
        <f>Credits!EV6157</f>
        <v>Switzerland</v>
      </c>
    </row>
    <row r="241" spans="2:8">
      <c r="B241" s="348">
        <v>40</v>
      </c>
      <c r="C241" s="348">
        <v>24</v>
      </c>
      <c r="D241" s="348" t="str">
        <f t="shared" si="7"/>
        <v>Tunisia</v>
      </c>
      <c r="E241" s="348" t="s">
        <v>702</v>
      </c>
      <c r="F241" s="348" t="s">
        <v>740</v>
      </c>
      <c r="G241" s="348" t="str">
        <f>Credits!EU6158</f>
        <v>Túnez</v>
      </c>
      <c r="H241" s="348" t="str">
        <f>Credits!EV6158</f>
        <v>Tunisia</v>
      </c>
    </row>
    <row r="242" spans="2:8">
      <c r="B242" s="348">
        <v>41</v>
      </c>
      <c r="C242" s="348">
        <v>32</v>
      </c>
      <c r="D242" s="348" t="str">
        <f t="shared" si="7"/>
        <v>Uruguay</v>
      </c>
      <c r="E242" s="348" t="s">
        <v>702</v>
      </c>
      <c r="F242" s="348" t="s">
        <v>741</v>
      </c>
      <c r="G242" s="348" t="str">
        <f>Credits!EU6159</f>
        <v>Uruguay</v>
      </c>
      <c r="H242" s="348" t="str">
        <f>Credits!EV6159</f>
        <v>Uruguay</v>
      </c>
    </row>
    <row r="243" spans="2:8">
      <c r="B243" s="348">
        <v>42</v>
      </c>
      <c r="C243" s="348">
        <v>43</v>
      </c>
      <c r="D243" s="348" t="str">
        <f t="shared" si="7"/>
        <v>Uzbekistan</v>
      </c>
      <c r="E243" s="348" t="s">
        <v>702</v>
      </c>
      <c r="F243" s="348" t="s">
        <v>742</v>
      </c>
      <c r="G243" s="348" t="str">
        <f>Credits!EU6160</f>
        <v>Uzbekistán</v>
      </c>
      <c r="H243" s="348" t="str">
        <f>Credits!EV6160</f>
        <v>Uzbekistan</v>
      </c>
    </row>
    <row r="244" spans="2:8">
      <c r="B244" s="348">
        <v>43</v>
      </c>
      <c r="C244" s="348">
        <v>42</v>
      </c>
      <c r="D244" s="348" t="str">
        <f t="shared" si="7"/>
        <v>DR Congo</v>
      </c>
      <c r="E244" s="348" t="s">
        <v>702</v>
      </c>
      <c r="F244" s="348" t="s">
        <v>743</v>
      </c>
      <c r="G244" s="348" t="str">
        <f>Credits!EU6161</f>
        <v>RD Congo</v>
      </c>
      <c r="H244" s="348" t="str">
        <f>Credits!EV6161</f>
        <v>DR Congo</v>
      </c>
    </row>
    <row r="245" spans="2:8">
      <c r="B245" s="348">
        <v>44</v>
      </c>
      <c r="C245" s="348">
        <v>35</v>
      </c>
      <c r="D245" s="348" t="str">
        <f t="shared" si="7"/>
        <v>Iraq</v>
      </c>
      <c r="E245" s="348" t="s">
        <v>702</v>
      </c>
      <c r="F245" s="348" t="s">
        <v>744</v>
      </c>
      <c r="G245" s="348" t="str">
        <f>Credits!EU6162</f>
        <v>Irak</v>
      </c>
      <c r="H245" s="348" t="str">
        <f>Credits!EV6162</f>
        <v>Iraq</v>
      </c>
    </row>
    <row r="246" spans="2:8">
      <c r="B246" s="348">
        <v>45</v>
      </c>
      <c r="C246" s="348">
        <v>6</v>
      </c>
      <c r="D246" s="348" t="str">
        <f t="shared" si="7"/>
        <v>Bosnia and Herzegovina</v>
      </c>
      <c r="E246" s="348" t="s">
        <v>702</v>
      </c>
      <c r="F246" s="348" t="s">
        <v>745</v>
      </c>
      <c r="G246" s="348" t="str">
        <f>Credits!EU6163</f>
        <v>Bosnia y Herzegovina</v>
      </c>
      <c r="H246" s="348" t="str">
        <f>Credits!EV6163</f>
        <v>Bosnia and Herzegovina</v>
      </c>
    </row>
    <row r="247" spans="2:8">
      <c r="B247" s="348">
        <v>46</v>
      </c>
      <c r="C247" s="348">
        <v>23</v>
      </c>
      <c r="D247" s="348" t="str">
        <f t="shared" si="7"/>
        <v>Sweden</v>
      </c>
      <c r="E247" s="348" t="s">
        <v>702</v>
      </c>
      <c r="F247" s="348" t="s">
        <v>746</v>
      </c>
      <c r="G247" s="348" t="str">
        <f>Credits!EU6164</f>
        <v>Suecia</v>
      </c>
      <c r="H247" s="348" t="str">
        <f>Credits!EV6164</f>
        <v>Sweden</v>
      </c>
    </row>
    <row r="248" spans="2:8">
      <c r="B248" s="348">
        <v>47</v>
      </c>
      <c r="C248" s="348">
        <v>16</v>
      </c>
      <c r="D248" s="348" t="str">
        <f t="shared" si="7"/>
        <v>Turkey</v>
      </c>
      <c r="E248" s="348" t="s">
        <v>702</v>
      </c>
      <c r="F248" s="348" t="s">
        <v>747</v>
      </c>
      <c r="G248" s="348" t="str">
        <f>Credits!EU6165</f>
        <v>Turquía</v>
      </c>
      <c r="H248" s="348" t="str">
        <f>Credits!EV6165</f>
        <v>Turkey</v>
      </c>
    </row>
    <row r="249" spans="2:8">
      <c r="B249" s="348">
        <v>48</v>
      </c>
      <c r="C249" s="348">
        <v>4</v>
      </c>
      <c r="D249" s="348" t="str">
        <f t="shared" si="7"/>
        <v>Czech Republic</v>
      </c>
      <c r="E249" s="348" t="s">
        <v>702</v>
      </c>
      <c r="F249" s="348" t="s">
        <v>748</v>
      </c>
      <c r="G249" s="348" t="str">
        <f>Credits!EU6166</f>
        <v>República Checa</v>
      </c>
      <c r="H249" s="348" t="str">
        <f>Credits!EV6166</f>
        <v>Czech Republic</v>
      </c>
    </row>
    <row r="252" spans="2:8">
      <c r="C252" s="348" t="s">
        <v>749</v>
      </c>
      <c r="D252" s="348" t="str">
        <f>IF($B$2,G252,H252)</f>
        <v>United States</v>
      </c>
      <c r="E252" s="348" t="s">
        <v>750</v>
      </c>
      <c r="F252" s="348" t="s">
        <v>751</v>
      </c>
      <c r="G252" s="348" t="s">
        <v>752</v>
      </c>
      <c r="H252" s="348" t="s">
        <v>1</v>
      </c>
    </row>
    <row r="255" spans="2:8">
      <c r="D255" s="348" t="str">
        <f t="shared" ref="D255:D271" si="8">IF($B$2,G255,H255)</f>
        <v>Winner</v>
      </c>
      <c r="E255" s="348" t="s">
        <v>753</v>
      </c>
      <c r="G255" s="348" t="s">
        <v>350</v>
      </c>
      <c r="H255" s="348" t="s">
        <v>351</v>
      </c>
    </row>
    <row r="256" spans="2:8">
      <c r="D256" s="348" t="str">
        <f t="shared" si="8"/>
        <v>Runner-up</v>
      </c>
      <c r="E256" s="348" t="s">
        <v>753</v>
      </c>
      <c r="G256" s="348" t="s">
        <v>353</v>
      </c>
      <c r="H256" s="348" t="s">
        <v>354</v>
      </c>
    </row>
    <row r="257" spans="4:8">
      <c r="D257" s="348" t="str">
        <f t="shared" si="8"/>
        <v>3rd place</v>
      </c>
      <c r="E257" s="348" t="s">
        <v>753</v>
      </c>
      <c r="G257" s="348" t="s">
        <v>355</v>
      </c>
      <c r="H257" s="348" t="s">
        <v>356</v>
      </c>
    </row>
    <row r="258" spans="4:8">
      <c r="D258" s="348" t="str">
        <f t="shared" si="8"/>
        <v>Semifinals</v>
      </c>
      <c r="E258" s="348" t="s">
        <v>753</v>
      </c>
      <c r="G258" s="348" t="s">
        <v>340</v>
      </c>
      <c r="H258" s="348" t="s">
        <v>341</v>
      </c>
    </row>
    <row r="259" spans="4:8">
      <c r="D259" s="348" t="str">
        <f t="shared" si="8"/>
        <v>Quarterfinals</v>
      </c>
      <c r="E259" s="348" t="s">
        <v>753</v>
      </c>
      <c r="G259" s="348" t="s">
        <v>337</v>
      </c>
      <c r="H259" s="348" t="s">
        <v>338</v>
      </c>
    </row>
    <row r="260" spans="4:8">
      <c r="D260" s="348" t="str">
        <f t="shared" si="8"/>
        <v>Round of 16</v>
      </c>
      <c r="E260" s="348" t="s">
        <v>753</v>
      </c>
      <c r="G260" s="348" t="s">
        <v>334</v>
      </c>
      <c r="H260" s="348" t="s">
        <v>335</v>
      </c>
    </row>
    <row r="261" spans="4:8">
      <c r="D261" s="348" t="str">
        <f t="shared" si="8"/>
        <v>Round of 32</v>
      </c>
      <c r="E261" s="348" t="s">
        <v>753</v>
      </c>
      <c r="G261" s="348" t="s">
        <v>331</v>
      </c>
      <c r="H261" s="348" t="s">
        <v>332</v>
      </c>
    </row>
    <row r="262" spans="4:8">
      <c r="D262" s="348" t="str">
        <f t="shared" si="8"/>
        <v>Group stage</v>
      </c>
      <c r="E262" s="348" t="s">
        <v>753</v>
      </c>
      <c r="G262" s="348" t="s">
        <v>754</v>
      </c>
      <c r="H262" s="348" t="s">
        <v>755</v>
      </c>
    </row>
    <row r="263" spans="4:8">
      <c r="D263" s="348" t="str">
        <f t="shared" si="8"/>
        <v>Predict the round</v>
      </c>
      <c r="E263" s="348" t="s">
        <v>753</v>
      </c>
      <c r="G263" s="348" t="s">
        <v>756</v>
      </c>
      <c r="H263" s="348" t="s">
        <v>757</v>
      </c>
    </row>
    <row r="264" spans="4:8">
      <c r="D264" s="348" t="str">
        <f t="shared" si="8"/>
        <v>Predict nation</v>
      </c>
      <c r="E264" s="348" t="s">
        <v>753</v>
      </c>
      <c r="G264" s="348" t="s">
        <v>758</v>
      </c>
      <c r="H264" s="348" t="s">
        <v>759</v>
      </c>
    </row>
    <row r="265" spans="4:8">
      <c r="D265" s="348" t="str">
        <f t="shared" si="8"/>
        <v>Round</v>
      </c>
      <c r="E265" s="348" t="s">
        <v>753</v>
      </c>
      <c r="G265" s="348" t="s">
        <v>760</v>
      </c>
      <c r="H265" s="348" t="s">
        <v>761</v>
      </c>
    </row>
    <row r="266" spans="4:8">
      <c r="D266" s="348" t="str">
        <f t="shared" si="8"/>
        <v>·Select for each round the nation or nations that you think will reach that round.</v>
      </c>
      <c r="E266" s="348" t="s">
        <v>753</v>
      </c>
      <c r="G266" s="348" t="s">
        <v>762</v>
      </c>
      <c r="H266" s="348" t="s">
        <v>763</v>
      </c>
    </row>
    <row r="267" spans="4:8">
      <c r="D267" s="348" t="str">
        <f t="shared" si="8"/>
        <v>·Once you select a nation, it will no longer appear in the selector.</v>
      </c>
      <c r="E267" s="348" t="s">
        <v>753</v>
      </c>
      <c r="G267" s="348" t="s">
        <v>764</v>
      </c>
      <c r="H267" s="348" t="s">
        <v>765</v>
      </c>
    </row>
    <row r="268" spans="4:8">
      <c r="D268" s="348" t="str">
        <f t="shared" si="8"/>
        <v>·If you've filled everything out and want to make a change,</v>
      </c>
      <c r="E268" s="348" t="s">
        <v>753</v>
      </c>
      <c r="G268" s="348" t="s">
        <v>766</v>
      </c>
      <c r="H268" s="348" t="s">
        <v>767</v>
      </c>
    </row>
    <row r="269" spans="4:8">
      <c r="D269" s="348" t="str">
        <f t="shared" si="8"/>
        <v xml:space="preserve"> delete the nations you want to change and you can select them again.</v>
      </c>
      <c r="E269" s="348" t="s">
        <v>753</v>
      </c>
      <c r="G269" s="348" t="s">
        <v>768</v>
      </c>
      <c r="H269" s="348" t="s">
        <v>769</v>
      </c>
    </row>
    <row r="270" spans="4:8">
      <c r="D270" s="348" t="str">
        <f t="shared" si="8"/>
        <v>Complete before World Cup begins</v>
      </c>
      <c r="E270" s="348" t="s">
        <v>753</v>
      </c>
      <c r="G270" s="348" t="s">
        <v>770</v>
      </c>
      <c r="H270" s="348" t="s">
        <v>771</v>
      </c>
    </row>
    <row r="271" spans="4:8">
      <c r="D271" s="348" t="str">
        <f t="shared" si="8"/>
        <v>·If you are not going to use the predictor in your group, you can leave it unfilled</v>
      </c>
      <c r="E271" s="348" t="s">
        <v>753</v>
      </c>
      <c r="G271" s="348" t="s">
        <v>772</v>
      </c>
      <c r="H271" s="348" t="s">
        <v>773</v>
      </c>
    </row>
    <row r="273" spans="4:8">
      <c r="D273" s="348"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48" t="s">
        <v>774</v>
      </c>
      <c r="H273" s="348" t="s">
        <v>775</v>
      </c>
    </row>
    <row r="922" spans="4:4">
      <c r="D922" s="348" t="s">
        <v>776</v>
      </c>
    </row>
    <row r="923" spans="4:4">
      <c r="D923" s="348"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56" t="s">
        <v>778</v>
      </c>
      <c r="B1" s="356" t="s">
        <v>779</v>
      </c>
      <c r="C1" s="357" t="s">
        <v>20</v>
      </c>
      <c r="D1" s="357" t="s">
        <v>80</v>
      </c>
      <c r="E1" s="357" t="s">
        <v>98</v>
      </c>
      <c r="F1" s="357" t="s">
        <v>107</v>
      </c>
      <c r="G1" s="357" t="s">
        <v>125</v>
      </c>
      <c r="H1" s="357" t="s">
        <v>131</v>
      </c>
      <c r="I1" s="357" t="s">
        <v>133</v>
      </c>
      <c r="J1" s="357" t="s">
        <v>134</v>
      </c>
      <c r="N1" s="8" t="s">
        <v>151</v>
      </c>
      <c r="O1" s="358" t="s">
        <v>780</v>
      </c>
      <c r="P1" s="358" t="s">
        <v>74</v>
      </c>
      <c r="Q1" s="358" t="s">
        <v>78</v>
      </c>
      <c r="R1" s="358" t="s">
        <v>87</v>
      </c>
      <c r="S1" s="358" t="s">
        <v>92</v>
      </c>
      <c r="T1" s="358" t="s">
        <v>101</v>
      </c>
      <c r="U1" s="358" t="s">
        <v>110</v>
      </c>
      <c r="V1" s="358" t="s">
        <v>119</v>
      </c>
      <c r="W1" s="358" t="s">
        <v>123</v>
      </c>
    </row>
    <row r="2" spans="1:23">
      <c r="A2" s="5" t="s">
        <v>781</v>
      </c>
      <c r="B2" s="5">
        <f>+IF(A2=WORLDCUP!$BI$112,1,0)</f>
        <v>0</v>
      </c>
      <c r="C2" s="5" t="str">
        <f>+WORLDCUP!BD62</f>
        <v>Curaçao</v>
      </c>
      <c r="D2" s="5" t="str">
        <f>+WORLDCUP!BD67</f>
        <v>Jordan</v>
      </c>
      <c r="E2" s="5" t="str">
        <f>+WORLDCUP!BD66</f>
        <v>Senegal</v>
      </c>
      <c r="F2" s="5" t="str">
        <f>+WORLDCUP!BD63</f>
        <v>Japan</v>
      </c>
      <c r="G2" s="5" t="str">
        <f>+WORLDCUP!BD65</f>
        <v>Saudi Arabia</v>
      </c>
      <c r="H2" s="5" t="str">
        <f>+WORLDCUP!BD64</f>
        <v>Egypt</v>
      </c>
      <c r="I2" s="5" t="str">
        <f>+WORLDCUP!BD69</f>
        <v>Ghana</v>
      </c>
      <c r="J2" s="5" t="str">
        <f>+WORLDCUP!BD68</f>
        <v>DR Congo</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Saudi Arabia</v>
      </c>
      <c r="D3" s="5" t="str">
        <f>+WORLDCUP!BD64</f>
        <v>Egypt</v>
      </c>
      <c r="E3" s="5" t="str">
        <f>+WORLDCUP!BD66</f>
        <v>Senegal</v>
      </c>
      <c r="F3" s="5" t="str">
        <f>+WORLDCUP!BD61</f>
        <v>Paraguay</v>
      </c>
      <c r="G3" s="5" t="str">
        <f>+WORLDCUP!BD67</f>
        <v>Jordan</v>
      </c>
      <c r="H3" s="5" t="str">
        <f>+WORLDCUP!BD63</f>
        <v>Japan</v>
      </c>
      <c r="I3" s="5" t="str">
        <f>+WORLDCUP!BD69</f>
        <v>Ghana</v>
      </c>
      <c r="J3" s="5" t="str">
        <f>+WORLDCUP!BD68</f>
        <v>DR Congo</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Curaçao</v>
      </c>
      <c r="D4" s="5" t="str">
        <f>+WORLDCUP!BD67</f>
        <v>Jordan</v>
      </c>
      <c r="E4" s="5" t="str">
        <f>+WORLDCUP!BD66</f>
        <v>Senegal</v>
      </c>
      <c r="F4" s="5" t="str">
        <f>+WORLDCUP!BD61</f>
        <v>Paraguay</v>
      </c>
      <c r="G4" s="5" t="str">
        <f>+WORLDCUP!BD65</f>
        <v>Saudi Arabia</v>
      </c>
      <c r="H4" s="5" t="str">
        <f>+WORLDCUP!BD64</f>
        <v>Egypt</v>
      </c>
      <c r="I4" s="5" t="str">
        <f>+WORLDCUP!BD69</f>
        <v>Ghana</v>
      </c>
      <c r="J4" s="5" t="str">
        <f>+WORLDCUP!BD68</f>
        <v>DR Congo</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Curaçao</v>
      </c>
      <c r="D5" s="5" t="str">
        <f>+WORLDCUP!BD67</f>
        <v>Jordan</v>
      </c>
      <c r="E5" s="5" t="str">
        <f>+WORLDCUP!BD66</f>
        <v>Senegal</v>
      </c>
      <c r="F5" s="5" t="str">
        <f>+WORLDCUP!BD61</f>
        <v>Paraguay</v>
      </c>
      <c r="G5" s="5" t="str">
        <f>+WORLDCUP!BD65</f>
        <v>Saudi Arabia</v>
      </c>
      <c r="H5" s="5" t="str">
        <f>+WORLDCUP!BD63</f>
        <v>Japan</v>
      </c>
      <c r="I5" s="5" t="str">
        <f>+WORLDCUP!BD69</f>
        <v>Ghana</v>
      </c>
      <c r="J5" s="5" t="str">
        <f>+WORLDCUP!BD68</f>
        <v>DR Congo</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Curaçao</v>
      </c>
      <c r="D6" s="5" t="str">
        <f>+WORLDCUP!BD64</f>
        <v>Egypt</v>
      </c>
      <c r="E6" s="5" t="str">
        <f>+WORLDCUP!BD66</f>
        <v>Senegal</v>
      </c>
      <c r="F6" s="5" t="str">
        <f>+WORLDCUP!BD61</f>
        <v>Paraguay</v>
      </c>
      <c r="G6" s="5" t="str">
        <f>+WORLDCUP!BD67</f>
        <v>Jordan</v>
      </c>
      <c r="H6" s="5" t="str">
        <f>+WORLDCUP!BD63</f>
        <v>Japan</v>
      </c>
      <c r="I6" s="5" t="str">
        <f>+WORLDCUP!BD69</f>
        <v>Ghana</v>
      </c>
      <c r="J6" s="5" t="str">
        <f>+WORLDCUP!BD68</f>
        <v>DR Congo</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Curaçao</v>
      </c>
      <c r="D7" s="5" t="str">
        <f>+WORLDCUP!BD64</f>
        <v>Egypt</v>
      </c>
      <c r="E7" s="5" t="str">
        <f>+WORLDCUP!BD67</f>
        <v>Jordan</v>
      </c>
      <c r="F7" s="5" t="str">
        <f>+WORLDCUP!BD61</f>
        <v>Paraguay</v>
      </c>
      <c r="G7" s="5" t="str">
        <f>+WORLDCUP!BD65</f>
        <v>Saudi Arabia</v>
      </c>
      <c r="H7" s="5" t="str">
        <f>+WORLDCUP!BD63</f>
        <v>Japan</v>
      </c>
      <c r="I7" s="5" t="str">
        <f>+WORLDCUP!BD69</f>
        <v>Ghana</v>
      </c>
      <c r="J7" s="5" t="str">
        <f>+WORLDCUP!BD68</f>
        <v>DR Congo</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Curaçao</v>
      </c>
      <c r="D8" s="5" t="str">
        <f>+WORLDCUP!BD64</f>
        <v>Egypt</v>
      </c>
      <c r="E8" s="5" t="str">
        <f>+WORLDCUP!BD66</f>
        <v>Senegal</v>
      </c>
      <c r="F8" s="5" t="str">
        <f>+WORLDCUP!BD61</f>
        <v>Paraguay</v>
      </c>
      <c r="G8" s="5" t="str">
        <f>+WORLDCUP!BD65</f>
        <v>Saudi Arabia</v>
      </c>
      <c r="H8" s="5" t="str">
        <f>+WORLDCUP!BD63</f>
        <v>Japan</v>
      </c>
      <c r="I8" s="5" t="str">
        <f>+WORLDCUP!BD69</f>
        <v>Ghana</v>
      </c>
      <c r="J8" s="5" t="str">
        <f>+WORLDCUP!BD68</f>
        <v>DR Congo</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Curaçao</v>
      </c>
      <c r="D9" s="5" t="str">
        <f>+WORLDCUP!BD64</f>
        <v>Egypt</v>
      </c>
      <c r="E9" s="5" t="str">
        <f>+WORLDCUP!BD67</f>
        <v>Jordan</v>
      </c>
      <c r="F9" s="5" t="str">
        <f>+WORLDCUP!BD61</f>
        <v>Paraguay</v>
      </c>
      <c r="G9" s="5" t="str">
        <f>+WORLDCUP!BD65</f>
        <v>Saudi Arabia</v>
      </c>
      <c r="H9" s="5" t="str">
        <f>+WORLDCUP!BD63</f>
        <v>Japan</v>
      </c>
      <c r="I9" s="5" t="str">
        <f>+WORLDCUP!BD69</f>
        <v>Ghana</v>
      </c>
      <c r="J9" s="5" t="str">
        <f>+WORLDCUP!BD66</f>
        <v>Senegal</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Curaçao</v>
      </c>
      <c r="D10" s="5" t="str">
        <f>+WORLDCUP!BD64</f>
        <v>Egypt</v>
      </c>
      <c r="E10" s="5" t="str">
        <f>+WORLDCUP!BD67</f>
        <v>Jordan</v>
      </c>
      <c r="F10" s="5" t="str">
        <f>+WORLDCUP!BD61</f>
        <v>Paraguay</v>
      </c>
      <c r="G10" s="5" t="str">
        <f>+WORLDCUP!BD65</f>
        <v>Saudi Arabia</v>
      </c>
      <c r="H10" s="5" t="str">
        <f>+WORLDCUP!BD63</f>
        <v>Japan</v>
      </c>
      <c r="I10" s="5" t="str">
        <f>+WORLDCUP!BD66</f>
        <v>Senegal</v>
      </c>
      <c r="J10" s="5" t="str">
        <f>+WORLDCUP!BD68</f>
        <v>DR Congo</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Saudi Arabia</v>
      </c>
      <c r="D11" s="5" t="str">
        <f>+WORLDCUP!BD64</f>
        <v>Egypt</v>
      </c>
      <c r="E11" s="5" t="str">
        <f>+WORLDCUP!BD66</f>
        <v>Senegal</v>
      </c>
      <c r="F11" s="5" t="str">
        <f>+WORLDCUP!BD60</f>
        <v>Scotland</v>
      </c>
      <c r="G11" s="5" t="str">
        <f>+WORLDCUP!BD67</f>
        <v>Jordan</v>
      </c>
      <c r="H11" s="5" t="str">
        <f>+WORLDCUP!BD63</f>
        <v>Japan</v>
      </c>
      <c r="I11" s="5" t="str">
        <f>+WORLDCUP!BD69</f>
        <v>Ghana</v>
      </c>
      <c r="J11" s="5" t="str">
        <f>+WORLDCUP!BD68</f>
        <v>DR Congo</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Curaçao</v>
      </c>
      <c r="D12" s="5" t="str">
        <f>+WORLDCUP!BD67</f>
        <v>Jordan</v>
      </c>
      <c r="E12" s="5" t="str">
        <f>+WORLDCUP!BD66</f>
        <v>Senegal</v>
      </c>
      <c r="F12" s="5" t="str">
        <f>+WORLDCUP!BD60</f>
        <v>Scotland</v>
      </c>
      <c r="G12" s="5" t="str">
        <f>+WORLDCUP!BD65</f>
        <v>Saudi Arabia</v>
      </c>
      <c r="H12" s="5" t="str">
        <f>+WORLDCUP!BD64</f>
        <v>Egypt</v>
      </c>
      <c r="I12" s="5" t="str">
        <f>+WORLDCUP!BD69</f>
        <v>Ghana</v>
      </c>
      <c r="J12" s="5" t="str">
        <f>+WORLDCUP!BD68</f>
        <v>DR Congo</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Curaçao</v>
      </c>
      <c r="D13" s="5" t="str">
        <f>+WORLDCUP!BD67</f>
        <v>Jordan</v>
      </c>
      <c r="E13" s="5" t="str">
        <f>+WORLDCUP!BD66</f>
        <v>Senegal</v>
      </c>
      <c r="F13" s="5" t="str">
        <f>+WORLDCUP!BD60</f>
        <v>Scotland</v>
      </c>
      <c r="G13" s="5" t="str">
        <f>+WORLDCUP!BD65</f>
        <v>Saudi Arabia</v>
      </c>
      <c r="H13" s="5" t="str">
        <f>+WORLDCUP!BD63</f>
        <v>Japan</v>
      </c>
      <c r="I13" s="5" t="str">
        <f>+WORLDCUP!BD69</f>
        <v>Ghana</v>
      </c>
      <c r="J13" s="5" t="str">
        <f>+WORLDCUP!BD68</f>
        <v>DR Congo</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Curaçao</v>
      </c>
      <c r="D14" s="5" t="str">
        <f>+WORLDCUP!BD64</f>
        <v>Egypt</v>
      </c>
      <c r="E14" s="5" t="str">
        <f>+WORLDCUP!BD66</f>
        <v>Senegal</v>
      </c>
      <c r="F14" s="5" t="str">
        <f>+WORLDCUP!BD60</f>
        <v>Scotland</v>
      </c>
      <c r="G14" s="5" t="str">
        <f>+WORLDCUP!BD67</f>
        <v>Jordan</v>
      </c>
      <c r="H14" s="5" t="str">
        <f>+WORLDCUP!BD63</f>
        <v>Japan</v>
      </c>
      <c r="I14" s="5" t="str">
        <f>+WORLDCUP!BD69</f>
        <v>Ghana</v>
      </c>
      <c r="J14" s="5" t="str">
        <f>+WORLDCUP!BD68</f>
        <v>DR Congo</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Curaçao</v>
      </c>
      <c r="D15" s="5" t="str">
        <f>+WORLDCUP!BD64</f>
        <v>Egypt</v>
      </c>
      <c r="E15" s="5" t="str">
        <f>+WORLDCUP!BD67</f>
        <v>Jordan</v>
      </c>
      <c r="F15" s="5" t="str">
        <f>+WORLDCUP!BD60</f>
        <v>Scotland</v>
      </c>
      <c r="G15" s="5" t="str">
        <f>+WORLDCUP!BD65</f>
        <v>Saudi Arabia</v>
      </c>
      <c r="H15" s="5" t="str">
        <f>+WORLDCUP!BD63</f>
        <v>Japan</v>
      </c>
      <c r="I15" s="5" t="str">
        <f>+WORLDCUP!BD69</f>
        <v>Ghana</v>
      </c>
      <c r="J15" s="5" t="str">
        <f>+WORLDCUP!BD68</f>
        <v>DR Congo</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Curaçao</v>
      </c>
      <c r="D16" s="5" t="str">
        <f>+WORLDCUP!BD64</f>
        <v>Egypt</v>
      </c>
      <c r="E16" s="5" t="str">
        <f>+WORLDCUP!BD66</f>
        <v>Senegal</v>
      </c>
      <c r="F16" s="5" t="str">
        <f>+WORLDCUP!BD60</f>
        <v>Scotland</v>
      </c>
      <c r="G16" s="5" t="str">
        <f>+WORLDCUP!BD65</f>
        <v>Saudi Arabia</v>
      </c>
      <c r="H16" s="5" t="str">
        <f>+WORLDCUP!BD63</f>
        <v>Japan</v>
      </c>
      <c r="I16" s="5" t="str">
        <f>+WORLDCUP!BD69</f>
        <v>Ghana</v>
      </c>
      <c r="J16" s="5" t="str">
        <f>+WORLDCUP!BD68</f>
        <v>DR Congo</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Curaçao</v>
      </c>
      <c r="D17" s="5" t="str">
        <f>+WORLDCUP!BD64</f>
        <v>Egypt</v>
      </c>
      <c r="E17" s="5" t="str">
        <f>+WORLDCUP!BD67</f>
        <v>Jordan</v>
      </c>
      <c r="F17" s="5" t="str">
        <f>+WORLDCUP!BD60</f>
        <v>Scotland</v>
      </c>
      <c r="G17" s="5" t="str">
        <f>+WORLDCUP!BD65</f>
        <v>Saudi Arabia</v>
      </c>
      <c r="H17" s="5" t="str">
        <f>+WORLDCUP!BD63</f>
        <v>Japan</v>
      </c>
      <c r="I17" s="5" t="str">
        <f>+WORLDCUP!BD69</f>
        <v>Ghana</v>
      </c>
      <c r="J17" s="5" t="str">
        <f>+WORLDCUP!BD66</f>
        <v>Senegal</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Curaçao</v>
      </c>
      <c r="D18" s="5" t="str">
        <f>+WORLDCUP!BD64</f>
        <v>Egypt</v>
      </c>
      <c r="E18" s="5" t="str">
        <f>+WORLDCUP!BD67</f>
        <v>Jordan</v>
      </c>
      <c r="F18" s="5" t="str">
        <f>+WORLDCUP!BD60</f>
        <v>Scotland</v>
      </c>
      <c r="G18" s="5" t="str">
        <f>+WORLDCUP!BD65</f>
        <v>Saudi Arabia</v>
      </c>
      <c r="H18" s="5" t="str">
        <f>+WORLDCUP!BD63</f>
        <v>Japan</v>
      </c>
      <c r="I18" s="5" t="str">
        <f>+WORLDCUP!BD66</f>
        <v>Senegal</v>
      </c>
      <c r="J18" s="5" t="str">
        <f>+WORLDCUP!BD68</f>
        <v>DR Congo</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Saudi Arabia</v>
      </c>
      <c r="D19" s="5" t="str">
        <f>+WORLDCUP!BD64</f>
        <v>Egypt</v>
      </c>
      <c r="E19" s="5" t="str">
        <f>+WORLDCUP!BD66</f>
        <v>Senegal</v>
      </c>
      <c r="F19" s="5" t="str">
        <f>+WORLDCUP!BD60</f>
        <v>Scotland</v>
      </c>
      <c r="G19" s="5" t="str">
        <f>+WORLDCUP!BD67</f>
        <v>Jordan</v>
      </c>
      <c r="H19" s="5" t="str">
        <f>+WORLDCUP!BD61</f>
        <v>Paraguay</v>
      </c>
      <c r="I19" s="5" t="str">
        <f>+WORLDCUP!BD69</f>
        <v>Ghana</v>
      </c>
      <c r="J19" s="5" t="str">
        <f>+WORLDCUP!BD68</f>
        <v>DR Congo</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Scotland</v>
      </c>
      <c r="D20" s="5" t="str">
        <f>+WORLDCUP!BD67</f>
        <v>Jordan</v>
      </c>
      <c r="E20" s="5" t="str">
        <f>+WORLDCUP!BD66</f>
        <v>Senegal</v>
      </c>
      <c r="F20" s="5" t="str">
        <f>+WORLDCUP!BD61</f>
        <v>Paraguay</v>
      </c>
      <c r="G20" s="5" t="str">
        <f>+WORLDCUP!BD65</f>
        <v>Saudi Arabia</v>
      </c>
      <c r="H20" s="5" t="str">
        <f>+WORLDCUP!BD63</f>
        <v>Japan</v>
      </c>
      <c r="I20" s="5" t="str">
        <f>+WORLDCUP!BD69</f>
        <v>Ghana</v>
      </c>
      <c r="J20" s="5" t="str">
        <f>+WORLDCUP!BD68</f>
        <v>DR Congo</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Scotland</v>
      </c>
      <c r="D21" s="5" t="str">
        <f>+WORLDCUP!BD64</f>
        <v>Egypt</v>
      </c>
      <c r="E21" s="5" t="str">
        <f>+WORLDCUP!BD66</f>
        <v>Senegal</v>
      </c>
      <c r="F21" s="5" t="str">
        <f>+WORLDCUP!BD61</f>
        <v>Paraguay</v>
      </c>
      <c r="G21" s="5" t="str">
        <f>+WORLDCUP!BD67</f>
        <v>Jordan</v>
      </c>
      <c r="H21" s="5" t="str">
        <f>+WORLDCUP!BD63</f>
        <v>Japan</v>
      </c>
      <c r="I21" s="5" t="str">
        <f>+WORLDCUP!BD69</f>
        <v>Ghana</v>
      </c>
      <c r="J21" s="5" t="str">
        <f>+WORLDCUP!BD68</f>
        <v>DR Congo</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Scotland</v>
      </c>
      <c r="D22" s="5" t="str">
        <f>+WORLDCUP!BD64</f>
        <v>Egypt</v>
      </c>
      <c r="E22" s="5" t="str">
        <f>+WORLDCUP!BD67</f>
        <v>Jordan</v>
      </c>
      <c r="F22" s="5" t="str">
        <f>+WORLDCUP!BD61</f>
        <v>Paraguay</v>
      </c>
      <c r="G22" s="5" t="str">
        <f>+WORLDCUP!BD65</f>
        <v>Saudi Arabia</v>
      </c>
      <c r="H22" s="5" t="str">
        <f>+WORLDCUP!BD63</f>
        <v>Japan</v>
      </c>
      <c r="I22" s="5" t="str">
        <f>+WORLDCUP!BD69</f>
        <v>Ghana</v>
      </c>
      <c r="J22" s="5" t="str">
        <f>+WORLDCUP!BD68</f>
        <v>DR Congo</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Scotland</v>
      </c>
      <c r="D23" s="5" t="str">
        <f>+WORLDCUP!BD64</f>
        <v>Egypt</v>
      </c>
      <c r="E23" s="5" t="str">
        <f>+WORLDCUP!BD66</f>
        <v>Senegal</v>
      </c>
      <c r="F23" s="5" t="str">
        <f>+WORLDCUP!BD61</f>
        <v>Paraguay</v>
      </c>
      <c r="G23" s="5" t="str">
        <f>+WORLDCUP!BD65</f>
        <v>Saudi Arabia</v>
      </c>
      <c r="H23" s="5" t="str">
        <f>+WORLDCUP!BD63</f>
        <v>Japan</v>
      </c>
      <c r="I23" s="5" t="str">
        <f>+WORLDCUP!BD69</f>
        <v>Ghana</v>
      </c>
      <c r="J23" s="5" t="str">
        <f>+WORLDCUP!BD68</f>
        <v>DR Congo</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Scotland</v>
      </c>
      <c r="D24" s="5" t="str">
        <f>+WORLDCUP!BD64</f>
        <v>Egypt</v>
      </c>
      <c r="E24" s="5" t="str">
        <f>+WORLDCUP!BD67</f>
        <v>Jordan</v>
      </c>
      <c r="F24" s="5" t="str">
        <f>+WORLDCUP!BD61</f>
        <v>Paraguay</v>
      </c>
      <c r="G24" s="5" t="str">
        <f>+WORLDCUP!BD65</f>
        <v>Saudi Arabia</v>
      </c>
      <c r="H24" s="5" t="str">
        <f>+WORLDCUP!BD63</f>
        <v>Japan</v>
      </c>
      <c r="I24" s="5" t="str">
        <f>+WORLDCUP!BD69</f>
        <v>Ghana</v>
      </c>
      <c r="J24" s="5" t="str">
        <f>+WORLDCUP!BD66</f>
        <v>Senegal</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Scotland</v>
      </c>
      <c r="D25" s="5" t="str">
        <f>+WORLDCUP!BD64</f>
        <v>Egypt</v>
      </c>
      <c r="E25" s="5" t="str">
        <f>+WORLDCUP!BD67</f>
        <v>Jordan</v>
      </c>
      <c r="F25" s="5" t="str">
        <f>+WORLDCUP!BD61</f>
        <v>Paraguay</v>
      </c>
      <c r="G25" s="5" t="str">
        <f>+WORLDCUP!BD65</f>
        <v>Saudi Arabia</v>
      </c>
      <c r="H25" s="5" t="str">
        <f>+WORLDCUP!BD63</f>
        <v>Japan</v>
      </c>
      <c r="I25" s="5" t="str">
        <f>+WORLDCUP!BD66</f>
        <v>Senegal</v>
      </c>
      <c r="J25" s="5" t="str">
        <f>+WORLDCUP!BD68</f>
        <v>DR Congo</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Curaçao</v>
      </c>
      <c r="D26" s="5" t="str">
        <f>+WORLDCUP!BD67</f>
        <v>Jordan</v>
      </c>
      <c r="E26" s="5" t="str">
        <f>+WORLDCUP!BD66</f>
        <v>Senegal</v>
      </c>
      <c r="F26" s="5" t="str">
        <f>+WORLDCUP!BD60</f>
        <v>Scotland</v>
      </c>
      <c r="G26" s="5" t="str">
        <f>+WORLDCUP!BD65</f>
        <v>Saudi Arabia</v>
      </c>
      <c r="H26" s="5" t="str">
        <f>+WORLDCUP!BD61</f>
        <v>Paraguay</v>
      </c>
      <c r="I26" s="5" t="str">
        <f>+WORLDCUP!BD69</f>
        <v>Ghana</v>
      </c>
      <c r="J26" s="5" t="str">
        <f>+WORLDCUP!BD68</f>
        <v>DR Congo</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Curaçao</v>
      </c>
      <c r="D27" s="5" t="str">
        <f>+WORLDCUP!BD64</f>
        <v>Egypt</v>
      </c>
      <c r="E27" s="5" t="str">
        <f>+WORLDCUP!BD66</f>
        <v>Senegal</v>
      </c>
      <c r="F27" s="5" t="str">
        <f>+WORLDCUP!BD60</f>
        <v>Scotland</v>
      </c>
      <c r="G27" s="5" t="str">
        <f>+WORLDCUP!BD67</f>
        <v>Jordan</v>
      </c>
      <c r="H27" s="5" t="str">
        <f>+WORLDCUP!BD61</f>
        <v>Paraguay</v>
      </c>
      <c r="I27" s="5" t="str">
        <f>+WORLDCUP!BD69</f>
        <v>Ghana</v>
      </c>
      <c r="J27" s="5" t="str">
        <f>+WORLDCUP!BD68</f>
        <v>DR Congo</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Curaçao</v>
      </c>
      <c r="D28" s="5" t="str">
        <f>+WORLDCUP!BD64</f>
        <v>Egypt</v>
      </c>
      <c r="E28" s="5" t="str">
        <f>+WORLDCUP!BD67</f>
        <v>Jordan</v>
      </c>
      <c r="F28" s="5" t="str">
        <f>+WORLDCUP!BD60</f>
        <v>Scotland</v>
      </c>
      <c r="G28" s="5" t="str">
        <f>+WORLDCUP!BD65</f>
        <v>Saudi Arabia</v>
      </c>
      <c r="H28" s="5" t="str">
        <f>+WORLDCUP!BD61</f>
        <v>Paraguay</v>
      </c>
      <c r="I28" s="5" t="str">
        <f>+WORLDCUP!BD69</f>
        <v>Ghana</v>
      </c>
      <c r="J28" s="5" t="str">
        <f>+WORLDCUP!BD68</f>
        <v>DR Congo</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Curaçao</v>
      </c>
      <c r="D29" s="5" t="str">
        <f>+WORLDCUP!BD64</f>
        <v>Egypt</v>
      </c>
      <c r="E29" s="5" t="str">
        <f>+WORLDCUP!BD66</f>
        <v>Senegal</v>
      </c>
      <c r="F29" s="5" t="str">
        <f>+WORLDCUP!BD60</f>
        <v>Scotland</v>
      </c>
      <c r="G29" s="5" t="str">
        <f>+WORLDCUP!BD65</f>
        <v>Saudi Arabia</v>
      </c>
      <c r="H29" s="5" t="str">
        <f>+WORLDCUP!BD61</f>
        <v>Paraguay</v>
      </c>
      <c r="I29" s="5" t="str">
        <f>+WORLDCUP!BD69</f>
        <v>Ghana</v>
      </c>
      <c r="J29" s="5" t="str">
        <f>+WORLDCUP!BD68</f>
        <v>DR Congo</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Curaçao</v>
      </c>
      <c r="D30" s="5" t="str">
        <f>+WORLDCUP!BD64</f>
        <v>Egypt</v>
      </c>
      <c r="E30" s="5" t="str">
        <f>+WORLDCUP!BD67</f>
        <v>Jordan</v>
      </c>
      <c r="F30" s="5" t="str">
        <f>+WORLDCUP!BD60</f>
        <v>Scotland</v>
      </c>
      <c r="G30" s="5" t="str">
        <f>+WORLDCUP!BD65</f>
        <v>Saudi Arabia</v>
      </c>
      <c r="H30" s="5" t="str">
        <f>+WORLDCUP!BD61</f>
        <v>Paraguay</v>
      </c>
      <c r="I30" s="5" t="str">
        <f>+WORLDCUP!BD69</f>
        <v>Ghana</v>
      </c>
      <c r="J30" s="5" t="str">
        <f>+WORLDCUP!BD66</f>
        <v>Senegal</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Curaçao</v>
      </c>
      <c r="D31" s="5" t="str">
        <f>+WORLDCUP!BD64</f>
        <v>Egypt</v>
      </c>
      <c r="E31" s="5" t="str">
        <f>+WORLDCUP!BD67</f>
        <v>Jordan</v>
      </c>
      <c r="F31" s="5" t="str">
        <f>+WORLDCUP!BD60</f>
        <v>Scotland</v>
      </c>
      <c r="G31" s="5" t="str">
        <f>+WORLDCUP!BD65</f>
        <v>Saudi Arabia</v>
      </c>
      <c r="H31" s="5" t="str">
        <f>+WORLDCUP!BD61</f>
        <v>Paraguay</v>
      </c>
      <c r="I31" s="5" t="str">
        <f>+WORLDCUP!BD66</f>
        <v>Senegal</v>
      </c>
      <c r="J31" s="5" t="str">
        <f>+WORLDCUP!BD68</f>
        <v>DR Congo</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Scotland</v>
      </c>
      <c r="D32" s="5" t="str">
        <f>+WORLDCUP!BD67</f>
        <v>Jordan</v>
      </c>
      <c r="E32" s="5" t="str">
        <f>+WORLDCUP!BD62</f>
        <v>Curaçao</v>
      </c>
      <c r="F32" s="5" t="str">
        <f>+WORLDCUP!BD61</f>
        <v>Paraguay</v>
      </c>
      <c r="G32" s="5" t="str">
        <f>+WORLDCUP!BD66</f>
        <v>Senegal</v>
      </c>
      <c r="H32" s="5" t="str">
        <f>+WORLDCUP!BD63</f>
        <v>Japan</v>
      </c>
      <c r="I32" s="5" t="str">
        <f>+WORLDCUP!BD69</f>
        <v>Ghana</v>
      </c>
      <c r="J32" s="5" t="str">
        <f>+WORLDCUP!BD68</f>
        <v>DR Congo</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Scotland</v>
      </c>
      <c r="D33" s="5" t="str">
        <f>+WORLDCUP!BD67</f>
        <v>Jordan</v>
      </c>
      <c r="E33" s="5" t="str">
        <f>+WORLDCUP!BD62</f>
        <v>Curaçao</v>
      </c>
      <c r="F33" s="5" t="str">
        <f>+WORLDCUP!BD61</f>
        <v>Paraguay</v>
      </c>
      <c r="G33" s="5" t="str">
        <f>+WORLDCUP!BD65</f>
        <v>Saudi Arabia</v>
      </c>
      <c r="H33" s="5" t="str">
        <f>+WORLDCUP!BD63</f>
        <v>Japan</v>
      </c>
      <c r="I33" s="5" t="str">
        <f>+WORLDCUP!BD69</f>
        <v>Ghana</v>
      </c>
      <c r="J33" s="5" t="str">
        <f>+WORLDCUP!BD68</f>
        <v>DR Congo</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Scotland</v>
      </c>
      <c r="D34" s="5" t="str">
        <f>+WORLDCUP!BD62</f>
        <v>Curaçao</v>
      </c>
      <c r="E34" s="5" t="str">
        <f>+WORLDCUP!BD66</f>
        <v>Senegal</v>
      </c>
      <c r="F34" s="5" t="str">
        <f>+WORLDCUP!BD61</f>
        <v>Paraguay</v>
      </c>
      <c r="G34" s="5" t="str">
        <f>+WORLDCUP!BD65</f>
        <v>Saudi Arabia</v>
      </c>
      <c r="H34" s="5" t="str">
        <f>+WORLDCUP!BD63</f>
        <v>Japan</v>
      </c>
      <c r="I34" s="5" t="str">
        <f>+WORLDCUP!BD69</f>
        <v>Ghana</v>
      </c>
      <c r="J34" s="5" t="str">
        <f>+WORLDCUP!BD68</f>
        <v>DR Congo</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Scotland</v>
      </c>
      <c r="D35" s="5" t="str">
        <f>+WORLDCUP!BD67</f>
        <v>Jordan</v>
      </c>
      <c r="E35" s="5" t="str">
        <f>+WORLDCUP!BD62</f>
        <v>Curaçao</v>
      </c>
      <c r="F35" s="5" t="str">
        <f>+WORLDCUP!BD61</f>
        <v>Paraguay</v>
      </c>
      <c r="G35" s="5" t="str">
        <f>+WORLDCUP!BD65</f>
        <v>Saudi Arabia</v>
      </c>
      <c r="H35" s="5" t="str">
        <f>+WORLDCUP!BD63</f>
        <v>Japan</v>
      </c>
      <c r="I35" s="5" t="str">
        <f>+WORLDCUP!BD69</f>
        <v>Ghana</v>
      </c>
      <c r="J35" s="5" t="str">
        <f>+WORLDCUP!BD66</f>
        <v>Senegal</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Scotland</v>
      </c>
      <c r="D36" s="5" t="str">
        <f>+WORLDCUP!BD67</f>
        <v>Jordan</v>
      </c>
      <c r="E36" s="5" t="str">
        <f>+WORLDCUP!BD62</f>
        <v>Curaçao</v>
      </c>
      <c r="F36" s="5" t="str">
        <f>+WORLDCUP!BD61</f>
        <v>Paraguay</v>
      </c>
      <c r="G36" s="5" t="str">
        <f>+WORLDCUP!BD65</f>
        <v>Saudi Arabia</v>
      </c>
      <c r="H36" s="5" t="str">
        <f>+WORLDCUP!BD63</f>
        <v>Japan</v>
      </c>
      <c r="I36" s="5" t="str">
        <f>+WORLDCUP!BD66</f>
        <v>Senegal</v>
      </c>
      <c r="J36" s="5" t="str">
        <f>+WORLDCUP!BD68</f>
        <v>DR Congo</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Scotland</v>
      </c>
      <c r="D37" s="5" t="str">
        <f>+WORLDCUP!BD64</f>
        <v>Egypt</v>
      </c>
      <c r="E37" s="5" t="str">
        <f>+WORLDCUP!BD62</f>
        <v>Curaçao</v>
      </c>
      <c r="F37" s="5" t="str">
        <f>+WORLDCUP!BD61</f>
        <v>Paraguay</v>
      </c>
      <c r="G37" s="5" t="str">
        <f>+WORLDCUP!BD67</f>
        <v>Jordan</v>
      </c>
      <c r="H37" s="5" t="str">
        <f>+WORLDCUP!BD63</f>
        <v>Japan</v>
      </c>
      <c r="I37" s="5" t="str">
        <f>+WORLDCUP!BD69</f>
        <v>Ghana</v>
      </c>
      <c r="J37" s="5" t="str">
        <f>+WORLDCUP!BD68</f>
        <v>DR Congo</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Scotland</v>
      </c>
      <c r="D38" s="5" t="str">
        <f>+WORLDCUP!BD64</f>
        <v>Egypt</v>
      </c>
      <c r="E38" s="5" t="str">
        <f>+WORLDCUP!BD62</f>
        <v>Curaçao</v>
      </c>
      <c r="F38" s="5" t="str">
        <f>+WORLDCUP!BD61</f>
        <v>Paraguay</v>
      </c>
      <c r="G38" s="5" t="str">
        <f>+WORLDCUP!BD66</f>
        <v>Senegal</v>
      </c>
      <c r="H38" s="5" t="str">
        <f>+WORLDCUP!BD63</f>
        <v>Japan</v>
      </c>
      <c r="I38" s="5" t="str">
        <f>+WORLDCUP!BD69</f>
        <v>Ghana</v>
      </c>
      <c r="J38" s="5" t="str">
        <f>+WORLDCUP!BD68</f>
        <v>DR Congo</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Scotland</v>
      </c>
      <c r="D39" s="5" t="str">
        <f>+WORLDCUP!BD64</f>
        <v>Egypt</v>
      </c>
      <c r="E39" s="5" t="str">
        <f>+WORLDCUP!BD62</f>
        <v>Curaçao</v>
      </c>
      <c r="F39" s="5" t="str">
        <f>+WORLDCUP!BD61</f>
        <v>Paraguay</v>
      </c>
      <c r="G39" s="5" t="str">
        <f>+WORLDCUP!BD67</f>
        <v>Jordan</v>
      </c>
      <c r="H39" s="5" t="str">
        <f>+WORLDCUP!BD63</f>
        <v>Japan</v>
      </c>
      <c r="I39" s="5" t="str">
        <f>+WORLDCUP!BD69</f>
        <v>Ghana</v>
      </c>
      <c r="J39" s="5" t="str">
        <f>+WORLDCUP!BD66</f>
        <v>Senegal</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Scotland</v>
      </c>
      <c r="D40" s="5" t="str">
        <f>+WORLDCUP!BD64</f>
        <v>Egypt</v>
      </c>
      <c r="E40" s="5" t="str">
        <f>+WORLDCUP!BD62</f>
        <v>Curaçao</v>
      </c>
      <c r="F40" s="5" t="str">
        <f>+WORLDCUP!BD61</f>
        <v>Paraguay</v>
      </c>
      <c r="G40" s="5" t="str">
        <f>+WORLDCUP!BD67</f>
        <v>Jordan</v>
      </c>
      <c r="H40" s="5" t="str">
        <f>+WORLDCUP!BD63</f>
        <v>Japan</v>
      </c>
      <c r="I40" s="5" t="str">
        <f>+WORLDCUP!BD66</f>
        <v>Senegal</v>
      </c>
      <c r="J40" s="5" t="str">
        <f>+WORLDCUP!BD68</f>
        <v>DR Congo</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Scotland</v>
      </c>
      <c r="D41" s="5" t="str">
        <f>+WORLDCUP!BD64</f>
        <v>Egypt</v>
      </c>
      <c r="E41" s="5" t="str">
        <f>+WORLDCUP!BD62</f>
        <v>Curaçao</v>
      </c>
      <c r="F41" s="5" t="str">
        <f>+WORLDCUP!BD61</f>
        <v>Paraguay</v>
      </c>
      <c r="G41" s="5" t="str">
        <f>+WORLDCUP!BD65</f>
        <v>Saudi Arabia</v>
      </c>
      <c r="H41" s="5" t="str">
        <f>+WORLDCUP!BD63</f>
        <v>Japan</v>
      </c>
      <c r="I41" s="5" t="str">
        <f>+WORLDCUP!BD69</f>
        <v>Ghana</v>
      </c>
      <c r="J41" s="5" t="str">
        <f>+WORLDCUP!BD68</f>
        <v>DR Congo</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Scotland</v>
      </c>
      <c r="D42" s="5" t="str">
        <f>+WORLDCUP!BD64</f>
        <v>Egypt</v>
      </c>
      <c r="E42" s="5" t="str">
        <f>+WORLDCUP!BD67</f>
        <v>Jordan</v>
      </c>
      <c r="F42" s="5" t="str">
        <f>+WORLDCUP!BD61</f>
        <v>Paraguay</v>
      </c>
      <c r="G42" s="5" t="str">
        <f>+WORLDCUP!BD65</f>
        <v>Saudi Arabia</v>
      </c>
      <c r="H42" s="5" t="str">
        <f>+WORLDCUP!BD63</f>
        <v>Japan</v>
      </c>
      <c r="I42" s="5" t="str">
        <f>+WORLDCUP!BD69</f>
        <v>Ghana</v>
      </c>
      <c r="J42" s="5" t="str">
        <f>+WORLDCUP!BD62</f>
        <v>Curaçao</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Scotland</v>
      </c>
      <c r="D43" s="5" t="str">
        <f>+WORLDCUP!BD64</f>
        <v>Egypt</v>
      </c>
      <c r="E43" s="5" t="str">
        <f>+WORLDCUP!BD67</f>
        <v>Jordan</v>
      </c>
      <c r="F43" s="5" t="str">
        <f>+WORLDCUP!BD61</f>
        <v>Paraguay</v>
      </c>
      <c r="G43" s="5" t="str">
        <f>+WORLDCUP!BD65</f>
        <v>Saudi Arabia</v>
      </c>
      <c r="H43" s="5" t="str">
        <f>+WORLDCUP!BD63</f>
        <v>Japan</v>
      </c>
      <c r="I43" s="5" t="str">
        <f>+WORLDCUP!BD62</f>
        <v>Curaçao</v>
      </c>
      <c r="J43" s="5" t="str">
        <f>+WORLDCUP!BD68</f>
        <v>DR Congo</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Scotland</v>
      </c>
      <c r="D44" s="5" t="str">
        <f>+WORLDCUP!BD64</f>
        <v>Egypt</v>
      </c>
      <c r="E44" s="5" t="str">
        <f>+WORLDCUP!BD62</f>
        <v>Curaçao</v>
      </c>
      <c r="F44" s="5" t="str">
        <f>+WORLDCUP!BD61</f>
        <v>Paraguay</v>
      </c>
      <c r="G44" s="5" t="str">
        <f>+WORLDCUP!BD65</f>
        <v>Saudi Arabia</v>
      </c>
      <c r="H44" s="5" t="str">
        <f>+WORLDCUP!BD63</f>
        <v>Japan</v>
      </c>
      <c r="I44" s="5" t="str">
        <f>+WORLDCUP!BD69</f>
        <v>Ghana</v>
      </c>
      <c r="J44" s="5" t="str">
        <f>+WORLDCUP!BD66</f>
        <v>Senegal</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Scotland</v>
      </c>
      <c r="D45" s="5" t="str">
        <f>+WORLDCUP!BD64</f>
        <v>Egypt</v>
      </c>
      <c r="E45" s="5" t="str">
        <f>+WORLDCUP!BD62</f>
        <v>Curaçao</v>
      </c>
      <c r="F45" s="5" t="str">
        <f>+WORLDCUP!BD61</f>
        <v>Paraguay</v>
      </c>
      <c r="G45" s="5" t="str">
        <f>+WORLDCUP!BD65</f>
        <v>Saudi Arabia</v>
      </c>
      <c r="H45" s="5" t="str">
        <f>+WORLDCUP!BD63</f>
        <v>Japan</v>
      </c>
      <c r="I45" s="5" t="str">
        <f>+WORLDCUP!BD66</f>
        <v>Senegal</v>
      </c>
      <c r="J45" s="5" t="str">
        <f>+WORLDCUP!BD68</f>
        <v>DR Congo</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Scotland</v>
      </c>
      <c r="D46" s="5" t="str">
        <f>+WORLDCUP!BD64</f>
        <v>Egypt</v>
      </c>
      <c r="E46" s="5" t="str">
        <f>+WORLDCUP!BD67</f>
        <v>Jordan</v>
      </c>
      <c r="F46" s="5" t="str">
        <f>+WORLDCUP!BD61</f>
        <v>Paraguay</v>
      </c>
      <c r="G46" s="5" t="str">
        <f>+WORLDCUP!BD65</f>
        <v>Saudi Arabia</v>
      </c>
      <c r="H46" s="5" t="str">
        <f>+WORLDCUP!BD63</f>
        <v>Japan</v>
      </c>
      <c r="I46" s="5" t="str">
        <f>+WORLDCUP!BD62</f>
        <v>Curaçao</v>
      </c>
      <c r="J46" s="5" t="str">
        <f>+WORLDCUP!BD66</f>
        <v>Senegal</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Saudi Arabia</v>
      </c>
      <c r="D47" s="5" t="str">
        <f>+WORLDCUP!BD67</f>
        <v>Jordan</v>
      </c>
      <c r="E47" s="5" t="str">
        <f>+WORLDCUP!BD59</f>
        <v>Bosnia and Herzegovina</v>
      </c>
      <c r="F47" s="5" t="str">
        <f>+WORLDCUP!BD63</f>
        <v>Japan</v>
      </c>
      <c r="G47" s="5" t="str">
        <f>+WORLDCUP!BD66</f>
        <v>Senegal</v>
      </c>
      <c r="H47" s="5" t="str">
        <f>+WORLDCUP!BD64</f>
        <v>Egypt</v>
      </c>
      <c r="I47" s="5" t="str">
        <f>+WORLDCUP!BD69</f>
        <v>Ghana</v>
      </c>
      <c r="J47" s="5" t="str">
        <f>+WORLDCUP!BD68</f>
        <v>DR Congo</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Curaçao</v>
      </c>
      <c r="D48" s="5" t="str">
        <f>+WORLDCUP!BD67</f>
        <v>Jordan</v>
      </c>
      <c r="E48" s="5" t="str">
        <f>+WORLDCUP!BD66</f>
        <v>Senegal</v>
      </c>
      <c r="F48" s="5" t="str">
        <f>+WORLDCUP!BD59</f>
        <v>Bosnia and Herzegovina</v>
      </c>
      <c r="G48" s="5" t="str">
        <f>+WORLDCUP!BD65</f>
        <v>Saudi Arabia</v>
      </c>
      <c r="H48" s="5" t="str">
        <f>+WORLDCUP!BD64</f>
        <v>Egypt</v>
      </c>
      <c r="I48" s="5" t="str">
        <f>+WORLDCUP!BD69</f>
        <v>Ghana</v>
      </c>
      <c r="J48" s="5" t="str">
        <f>+WORLDCUP!BD68</f>
        <v>DR Congo</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Curaçao</v>
      </c>
      <c r="D49" s="5" t="str">
        <f>+WORLDCUP!BD67</f>
        <v>Jordan</v>
      </c>
      <c r="E49" s="5" t="str">
        <f>+WORLDCUP!BD59</f>
        <v>Bosnia and Herzegovina</v>
      </c>
      <c r="F49" s="5" t="str">
        <f>+WORLDCUP!BD63</f>
        <v>Japan</v>
      </c>
      <c r="G49" s="5" t="str">
        <f>+WORLDCUP!BD66</f>
        <v>Senegal</v>
      </c>
      <c r="H49" s="5" t="str">
        <f>+WORLDCUP!BD65</f>
        <v>Saudi Arabia</v>
      </c>
      <c r="I49" s="5" t="str">
        <f>+WORLDCUP!BD69</f>
        <v>Ghana</v>
      </c>
      <c r="J49" s="5" t="str">
        <f>+WORLDCUP!BD68</f>
        <v>DR Congo</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Curaçao</v>
      </c>
      <c r="D50" s="5" t="str">
        <f>+WORLDCUP!BD67</f>
        <v>Jordan</v>
      </c>
      <c r="E50" s="5" t="str">
        <f>+WORLDCUP!BD59</f>
        <v>Bosnia and Herzegovina</v>
      </c>
      <c r="F50" s="5" t="str">
        <f>+WORLDCUP!BD63</f>
        <v>Japan</v>
      </c>
      <c r="G50" s="5" t="str">
        <f>+WORLDCUP!BD66</f>
        <v>Senegal</v>
      </c>
      <c r="H50" s="5" t="str">
        <f>+WORLDCUP!BD64</f>
        <v>Egypt</v>
      </c>
      <c r="I50" s="5" t="str">
        <f>+WORLDCUP!BD69</f>
        <v>Ghana</v>
      </c>
      <c r="J50" s="5" t="str">
        <f>+WORLDCUP!BD68</f>
        <v>DR Congo</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Curaçao</v>
      </c>
      <c r="D51" s="5" t="str">
        <f>+WORLDCUP!BD67</f>
        <v>Jordan</v>
      </c>
      <c r="E51" s="5" t="str">
        <f>+WORLDCUP!BD59</f>
        <v>Bosnia and Herzegovina</v>
      </c>
      <c r="F51" s="5" t="str">
        <f>+WORLDCUP!BD63</f>
        <v>Japan</v>
      </c>
      <c r="G51" s="5" t="str">
        <f>+WORLDCUP!BD65</f>
        <v>Saudi Arabia</v>
      </c>
      <c r="H51" s="5" t="str">
        <f>+WORLDCUP!BD64</f>
        <v>Egypt</v>
      </c>
      <c r="I51" s="5" t="str">
        <f>+WORLDCUP!BD69</f>
        <v>Ghana</v>
      </c>
      <c r="J51" s="5" t="str">
        <f>+WORLDCUP!BD68</f>
        <v>DR Congo</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Curaçao</v>
      </c>
      <c r="D52" s="5" t="str">
        <f>+WORLDCUP!BD64</f>
        <v>Egypt</v>
      </c>
      <c r="E52" s="5" t="str">
        <f>+WORLDCUP!BD59</f>
        <v>Bosnia and Herzegovina</v>
      </c>
      <c r="F52" s="5" t="str">
        <f>+WORLDCUP!BD63</f>
        <v>Japan</v>
      </c>
      <c r="G52" s="5" t="str">
        <f>+WORLDCUP!BD66</f>
        <v>Senegal</v>
      </c>
      <c r="H52" s="5" t="str">
        <f>+WORLDCUP!BD65</f>
        <v>Saudi Arabia</v>
      </c>
      <c r="I52" s="5" t="str">
        <f>+WORLDCUP!BD69</f>
        <v>Ghana</v>
      </c>
      <c r="J52" s="5" t="str">
        <f>+WORLDCUP!BD68</f>
        <v>DR Congo</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Curaçao</v>
      </c>
      <c r="D53" s="5" t="str">
        <f>+WORLDCUP!BD67</f>
        <v>Jordan</v>
      </c>
      <c r="E53" s="5" t="str">
        <f>+WORLDCUP!BD59</f>
        <v>Bosnia and Herzegovina</v>
      </c>
      <c r="F53" s="5" t="str">
        <f>+WORLDCUP!BD63</f>
        <v>Japan</v>
      </c>
      <c r="G53" s="5" t="str">
        <f>+WORLDCUP!BD65</f>
        <v>Saudi Arabia</v>
      </c>
      <c r="H53" s="5" t="str">
        <f>+WORLDCUP!BD64</f>
        <v>Egypt</v>
      </c>
      <c r="I53" s="5" t="str">
        <f>+WORLDCUP!BD69</f>
        <v>Ghana</v>
      </c>
      <c r="J53" s="5" t="str">
        <f>+WORLDCUP!BD66</f>
        <v>Senegal</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Curaçao</v>
      </c>
      <c r="D54" s="5" t="str">
        <f>+WORLDCUP!BD67</f>
        <v>Jordan</v>
      </c>
      <c r="E54" s="5" t="str">
        <f>+WORLDCUP!BD59</f>
        <v>Bosnia and Herzegovina</v>
      </c>
      <c r="F54" s="5" t="str">
        <f>+WORLDCUP!BD63</f>
        <v>Japan</v>
      </c>
      <c r="G54" s="5" t="str">
        <f>+WORLDCUP!BD65</f>
        <v>Saudi Arabia</v>
      </c>
      <c r="H54" s="5" t="str">
        <f>+WORLDCUP!BD64</f>
        <v>Egypt</v>
      </c>
      <c r="I54" s="5" t="str">
        <f>+WORLDCUP!BD66</f>
        <v>Senegal</v>
      </c>
      <c r="J54" s="5" t="str">
        <f>+WORLDCUP!BD68</f>
        <v>DR Congo</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Saudi Arabia</v>
      </c>
      <c r="D55" s="5" t="str">
        <f>+WORLDCUP!BD67</f>
        <v>Jordan</v>
      </c>
      <c r="E55" s="5" t="str">
        <f>+WORLDCUP!BD59</f>
        <v>Bosnia and Herzegovina</v>
      </c>
      <c r="F55" s="5" t="str">
        <f>+WORLDCUP!BD61</f>
        <v>Paraguay</v>
      </c>
      <c r="G55" s="5" t="str">
        <f>+WORLDCUP!BD66</f>
        <v>Senegal</v>
      </c>
      <c r="H55" s="5" t="str">
        <f>+WORLDCUP!BD64</f>
        <v>Egypt</v>
      </c>
      <c r="I55" s="5" t="str">
        <f>+WORLDCUP!BD69</f>
        <v>Ghana</v>
      </c>
      <c r="J55" s="5" t="str">
        <f>+WORLDCUP!BD68</f>
        <v>DR Congo</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Saudi Arabia</v>
      </c>
      <c r="D56" s="5" t="str">
        <f>+WORLDCUP!BD67</f>
        <v>Jordan</v>
      </c>
      <c r="E56" s="5" t="str">
        <f>+WORLDCUP!BD59</f>
        <v>Bosnia and Herzegovina</v>
      </c>
      <c r="F56" s="5" t="str">
        <f>+WORLDCUP!BD61</f>
        <v>Paraguay</v>
      </c>
      <c r="G56" s="5" t="str">
        <f>+WORLDCUP!BD66</f>
        <v>Senegal</v>
      </c>
      <c r="H56" s="5" t="str">
        <f>+WORLDCUP!BD63</f>
        <v>Japan</v>
      </c>
      <c r="I56" s="5" t="str">
        <f>+WORLDCUP!BD69</f>
        <v>Ghana</v>
      </c>
      <c r="J56" s="5" t="str">
        <f>+WORLDCUP!BD68</f>
        <v>DR Congo</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Senegal</v>
      </c>
      <c r="D57" s="5" t="str">
        <f>+WORLDCUP!BD64</f>
        <v>Egypt</v>
      </c>
      <c r="E57" s="5" t="str">
        <f>+WORLDCUP!BD59</f>
        <v>Bosnia and Herzegovina</v>
      </c>
      <c r="F57" s="5" t="str">
        <f>+WORLDCUP!BD61</f>
        <v>Paraguay</v>
      </c>
      <c r="G57" s="5" t="str">
        <f>+WORLDCUP!BD67</f>
        <v>Jordan</v>
      </c>
      <c r="H57" s="5" t="str">
        <f>+WORLDCUP!BD63</f>
        <v>Japan</v>
      </c>
      <c r="I57" s="5" t="str">
        <f>+WORLDCUP!BD69</f>
        <v>Ghana</v>
      </c>
      <c r="J57" s="5" t="str">
        <f>+WORLDCUP!BD68</f>
        <v>DR Congo</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Saudi Arabia</v>
      </c>
      <c r="D58" s="5" t="str">
        <f>+WORLDCUP!BD64</f>
        <v>Egypt</v>
      </c>
      <c r="E58" s="5" t="str">
        <f>+WORLDCUP!BD59</f>
        <v>Bosnia and Herzegovina</v>
      </c>
      <c r="F58" s="5" t="str">
        <f>+WORLDCUP!BD61</f>
        <v>Paraguay</v>
      </c>
      <c r="G58" s="5" t="str">
        <f>+WORLDCUP!BD67</f>
        <v>Jordan</v>
      </c>
      <c r="H58" s="5" t="str">
        <f>+WORLDCUP!BD63</f>
        <v>Japan</v>
      </c>
      <c r="I58" s="5" t="str">
        <f>+WORLDCUP!BD69</f>
        <v>Ghana</v>
      </c>
      <c r="J58" s="5" t="str">
        <f>+WORLDCUP!BD68</f>
        <v>DR Congo</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Saudi Arabia</v>
      </c>
      <c r="D59" s="5" t="str">
        <f>+WORLDCUP!BD64</f>
        <v>Egypt</v>
      </c>
      <c r="E59" s="5" t="str">
        <f>+WORLDCUP!BD59</f>
        <v>Bosnia and Herzegovina</v>
      </c>
      <c r="F59" s="5" t="str">
        <f>+WORLDCUP!BD61</f>
        <v>Paraguay</v>
      </c>
      <c r="G59" s="5" t="str">
        <f>+WORLDCUP!BD66</f>
        <v>Senegal</v>
      </c>
      <c r="H59" s="5" t="str">
        <f>+WORLDCUP!BD63</f>
        <v>Japan</v>
      </c>
      <c r="I59" s="5" t="str">
        <f>+WORLDCUP!BD69</f>
        <v>Ghana</v>
      </c>
      <c r="J59" s="5" t="str">
        <f>+WORLDCUP!BD68</f>
        <v>DR Congo</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Saudi Arabia</v>
      </c>
      <c r="D60" s="5" t="str">
        <f>+WORLDCUP!BD64</f>
        <v>Egypt</v>
      </c>
      <c r="E60" s="5" t="str">
        <f>+WORLDCUP!BD59</f>
        <v>Bosnia and Herzegovina</v>
      </c>
      <c r="F60" s="5" t="str">
        <f>+WORLDCUP!BD61</f>
        <v>Paraguay</v>
      </c>
      <c r="G60" s="5" t="str">
        <f>+WORLDCUP!BD67</f>
        <v>Jordan</v>
      </c>
      <c r="H60" s="5" t="str">
        <f>+WORLDCUP!BD63</f>
        <v>Japan</v>
      </c>
      <c r="I60" s="5" t="str">
        <f>+WORLDCUP!BD69</f>
        <v>Ghana</v>
      </c>
      <c r="J60" s="5" t="str">
        <f>+WORLDCUP!BD66</f>
        <v>Senegal</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Saudi Arabia</v>
      </c>
      <c r="D61" s="5" t="str">
        <f>+WORLDCUP!BD64</f>
        <v>Egypt</v>
      </c>
      <c r="E61" s="5" t="str">
        <f>+WORLDCUP!BD59</f>
        <v>Bosnia and Herzegovina</v>
      </c>
      <c r="F61" s="5" t="str">
        <f>+WORLDCUP!BD61</f>
        <v>Paraguay</v>
      </c>
      <c r="G61" s="5" t="str">
        <f>+WORLDCUP!BD67</f>
        <v>Jordan</v>
      </c>
      <c r="H61" s="5" t="str">
        <f>+WORLDCUP!BD63</f>
        <v>Japan</v>
      </c>
      <c r="I61" s="5" t="str">
        <f>+WORLDCUP!BD66</f>
        <v>Senegal</v>
      </c>
      <c r="J61" s="5" t="str">
        <f>+WORLDCUP!BD68</f>
        <v>DR Congo</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Curaçao</v>
      </c>
      <c r="D62" s="5" t="str">
        <f>+WORLDCUP!BD67</f>
        <v>Jordan</v>
      </c>
      <c r="E62" s="5" t="str">
        <f>+WORLDCUP!BD59</f>
        <v>Bosnia and Herzegovina</v>
      </c>
      <c r="F62" s="5" t="str">
        <f>+WORLDCUP!BD61</f>
        <v>Paraguay</v>
      </c>
      <c r="G62" s="5" t="str">
        <f>+WORLDCUP!BD66</f>
        <v>Senegal</v>
      </c>
      <c r="H62" s="5" t="str">
        <f>+WORLDCUP!BD65</f>
        <v>Saudi Arabia</v>
      </c>
      <c r="I62" s="5" t="str">
        <f>+WORLDCUP!BD69</f>
        <v>Ghana</v>
      </c>
      <c r="J62" s="5" t="str">
        <f>+WORLDCUP!BD68</f>
        <v>DR Congo</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Curaçao</v>
      </c>
      <c r="D63" s="5" t="str">
        <f>+WORLDCUP!BD67</f>
        <v>Jordan</v>
      </c>
      <c r="E63" s="5" t="str">
        <f>+WORLDCUP!BD59</f>
        <v>Bosnia and Herzegovina</v>
      </c>
      <c r="F63" s="5" t="str">
        <f>+WORLDCUP!BD61</f>
        <v>Paraguay</v>
      </c>
      <c r="G63" s="5" t="str">
        <f>+WORLDCUP!BD66</f>
        <v>Senegal</v>
      </c>
      <c r="H63" s="5" t="str">
        <f>+WORLDCUP!BD64</f>
        <v>Egypt</v>
      </c>
      <c r="I63" s="5" t="str">
        <f>+WORLDCUP!BD69</f>
        <v>Ghana</v>
      </c>
      <c r="J63" s="5" t="str">
        <f>+WORLDCUP!BD68</f>
        <v>DR Congo</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Curaçao</v>
      </c>
      <c r="D64" s="5" t="str">
        <f>+WORLDCUP!BD67</f>
        <v>Jordan</v>
      </c>
      <c r="E64" s="5" t="str">
        <f>+WORLDCUP!BD59</f>
        <v>Bosnia and Herzegovina</v>
      </c>
      <c r="F64" s="5" t="str">
        <f>+WORLDCUP!BD61</f>
        <v>Paraguay</v>
      </c>
      <c r="G64" s="5" t="str">
        <f>+WORLDCUP!BD65</f>
        <v>Saudi Arabia</v>
      </c>
      <c r="H64" s="5" t="str">
        <f>+WORLDCUP!BD64</f>
        <v>Egypt</v>
      </c>
      <c r="I64" s="5" t="str">
        <f>+WORLDCUP!BD69</f>
        <v>Ghana</v>
      </c>
      <c r="J64" s="5" t="str">
        <f>+WORLDCUP!BD68</f>
        <v>DR Congo</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Curaçao</v>
      </c>
      <c r="D65" s="5" t="str">
        <f>+WORLDCUP!BD64</f>
        <v>Egypt</v>
      </c>
      <c r="E65" s="5" t="str">
        <f>+WORLDCUP!BD59</f>
        <v>Bosnia and Herzegovina</v>
      </c>
      <c r="F65" s="5" t="str">
        <f>+WORLDCUP!BD61</f>
        <v>Paraguay</v>
      </c>
      <c r="G65" s="5" t="str">
        <f>+WORLDCUP!BD66</f>
        <v>Senegal</v>
      </c>
      <c r="H65" s="5" t="str">
        <f>+WORLDCUP!BD65</f>
        <v>Saudi Arabia</v>
      </c>
      <c r="I65" s="5" t="str">
        <f>+WORLDCUP!BD69</f>
        <v>Ghana</v>
      </c>
      <c r="J65" s="5" t="str">
        <f>+WORLDCUP!BD68</f>
        <v>DR Congo</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Curaçao</v>
      </c>
      <c r="D66" s="5" t="str">
        <f>+WORLDCUP!BD67</f>
        <v>Jordan</v>
      </c>
      <c r="E66" s="5" t="str">
        <f>+WORLDCUP!BD59</f>
        <v>Bosnia and Herzegovina</v>
      </c>
      <c r="F66" s="5" t="str">
        <f>+WORLDCUP!BD61</f>
        <v>Paraguay</v>
      </c>
      <c r="G66" s="5" t="str">
        <f>+WORLDCUP!BD65</f>
        <v>Saudi Arabia</v>
      </c>
      <c r="H66" s="5" t="str">
        <f>+WORLDCUP!BD64</f>
        <v>Egypt</v>
      </c>
      <c r="I66" s="5" t="str">
        <f>+WORLDCUP!BD69</f>
        <v>Ghana</v>
      </c>
      <c r="J66" s="5" t="str">
        <f>+WORLDCUP!BD66</f>
        <v>Senegal</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Curaçao</v>
      </c>
      <c r="D67" s="5" t="str">
        <f>+WORLDCUP!BD67</f>
        <v>Jordan</v>
      </c>
      <c r="E67" s="5" t="str">
        <f>+WORLDCUP!BD59</f>
        <v>Bosnia and Herzegovina</v>
      </c>
      <c r="F67" s="5" t="str">
        <f>+WORLDCUP!BD61</f>
        <v>Paraguay</v>
      </c>
      <c r="G67" s="5" t="str">
        <f>+WORLDCUP!BD65</f>
        <v>Saudi Arabia</v>
      </c>
      <c r="H67" s="5" t="str">
        <f>+WORLDCUP!BD64</f>
        <v>Egypt</v>
      </c>
      <c r="I67" s="5" t="str">
        <f>+WORLDCUP!BD66</f>
        <v>Senegal</v>
      </c>
      <c r="J67" s="5" t="str">
        <f>+WORLDCUP!BD68</f>
        <v>DR Congo</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Curaçao</v>
      </c>
      <c r="D68" s="5" t="str">
        <f>+WORLDCUP!BD67</f>
        <v>Jordan</v>
      </c>
      <c r="E68" s="5" t="str">
        <f>+WORLDCUP!BD59</f>
        <v>Bosnia and Herzegovina</v>
      </c>
      <c r="F68" s="5" t="str">
        <f>+WORLDCUP!BD61</f>
        <v>Paraguay</v>
      </c>
      <c r="G68" s="5" t="str">
        <f>+WORLDCUP!BD66</f>
        <v>Senegal</v>
      </c>
      <c r="H68" s="5" t="str">
        <f>+WORLDCUP!BD63</f>
        <v>Japan</v>
      </c>
      <c r="I68" s="5" t="str">
        <f>+WORLDCUP!BD69</f>
        <v>Ghana</v>
      </c>
      <c r="J68" s="5" t="str">
        <f>+WORLDCUP!BD68</f>
        <v>DR Congo</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Curaçao</v>
      </c>
      <c r="D69" s="5" t="str">
        <f>+WORLDCUP!BD67</f>
        <v>Jordan</v>
      </c>
      <c r="E69" s="5" t="str">
        <f>+WORLDCUP!BD59</f>
        <v>Bosnia and Herzegovina</v>
      </c>
      <c r="F69" s="5" t="str">
        <f>+WORLDCUP!BD61</f>
        <v>Paraguay</v>
      </c>
      <c r="G69" s="5" t="str">
        <f>+WORLDCUP!BD65</f>
        <v>Saudi Arabia</v>
      </c>
      <c r="H69" s="5" t="str">
        <f>+WORLDCUP!BD63</f>
        <v>Japan</v>
      </c>
      <c r="I69" s="5" t="str">
        <f>+WORLDCUP!BD69</f>
        <v>Ghana</v>
      </c>
      <c r="J69" s="5" t="str">
        <f>+WORLDCUP!BD68</f>
        <v>DR Congo</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Curaçao</v>
      </c>
      <c r="D70" s="5" t="str">
        <f>+WORLDCUP!BD66</f>
        <v>Senegal</v>
      </c>
      <c r="E70" s="5" t="str">
        <f>+WORLDCUP!BD59</f>
        <v>Bosnia and Herzegovina</v>
      </c>
      <c r="F70" s="5" t="str">
        <f>+WORLDCUP!BD61</f>
        <v>Paraguay</v>
      </c>
      <c r="G70" s="5" t="str">
        <f>+WORLDCUP!BD65</f>
        <v>Saudi Arabia</v>
      </c>
      <c r="H70" s="5" t="str">
        <f>+WORLDCUP!BD63</f>
        <v>Japan</v>
      </c>
      <c r="I70" s="5" t="str">
        <f>+WORLDCUP!BD69</f>
        <v>Ghana</v>
      </c>
      <c r="J70" s="5" t="str">
        <f>+WORLDCUP!BD68</f>
        <v>DR Congo</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Curaçao</v>
      </c>
      <c r="D71" s="5" t="str">
        <f>+WORLDCUP!BD67</f>
        <v>Jordan</v>
      </c>
      <c r="E71" s="5" t="str">
        <f>+WORLDCUP!BD59</f>
        <v>Bosnia and Herzegovina</v>
      </c>
      <c r="F71" s="5" t="str">
        <f>+WORLDCUP!BD61</f>
        <v>Paraguay</v>
      </c>
      <c r="G71" s="5" t="str">
        <f>+WORLDCUP!BD65</f>
        <v>Saudi Arabia</v>
      </c>
      <c r="H71" s="5" t="str">
        <f>+WORLDCUP!BD63</f>
        <v>Japan</v>
      </c>
      <c r="I71" s="5" t="str">
        <f>+WORLDCUP!BD69</f>
        <v>Ghana</v>
      </c>
      <c r="J71" s="5" t="str">
        <f>+WORLDCUP!BD66</f>
        <v>Senegal</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Curaçao</v>
      </c>
      <c r="D72" s="5" t="str">
        <f>+WORLDCUP!BD67</f>
        <v>Jordan</v>
      </c>
      <c r="E72" s="5" t="str">
        <f>+WORLDCUP!BD59</f>
        <v>Bosnia and Herzegovina</v>
      </c>
      <c r="F72" s="5" t="str">
        <f>+WORLDCUP!BD61</f>
        <v>Paraguay</v>
      </c>
      <c r="G72" s="5" t="str">
        <f>+WORLDCUP!BD65</f>
        <v>Saudi Arabia</v>
      </c>
      <c r="H72" s="5" t="str">
        <f>+WORLDCUP!BD63</f>
        <v>Japan</v>
      </c>
      <c r="I72" s="5" t="str">
        <f>+WORLDCUP!BD66</f>
        <v>Senegal</v>
      </c>
      <c r="J72" s="5" t="str">
        <f>+WORLDCUP!BD68</f>
        <v>DR Congo</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Curaçao</v>
      </c>
      <c r="D73" s="5" t="str">
        <f>+WORLDCUP!BD64</f>
        <v>Egypt</v>
      </c>
      <c r="E73" s="5" t="str">
        <f>+WORLDCUP!BD59</f>
        <v>Bosnia and Herzegovina</v>
      </c>
      <c r="F73" s="5" t="str">
        <f>+WORLDCUP!BD61</f>
        <v>Paraguay</v>
      </c>
      <c r="G73" s="5" t="str">
        <f>+WORLDCUP!BD67</f>
        <v>Jordan</v>
      </c>
      <c r="H73" s="5" t="str">
        <f>+WORLDCUP!BD63</f>
        <v>Japan</v>
      </c>
      <c r="I73" s="5" t="str">
        <f>+WORLDCUP!BD69</f>
        <v>Ghana</v>
      </c>
      <c r="J73" s="5" t="str">
        <f>+WORLDCUP!BD68</f>
        <v>DR Congo</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Curaçao</v>
      </c>
      <c r="D74" s="5" t="str">
        <f>+WORLDCUP!BD64</f>
        <v>Egypt</v>
      </c>
      <c r="E74" s="5" t="str">
        <f>+WORLDCUP!BD59</f>
        <v>Bosnia and Herzegovina</v>
      </c>
      <c r="F74" s="5" t="str">
        <f>+WORLDCUP!BD61</f>
        <v>Paraguay</v>
      </c>
      <c r="G74" s="5" t="str">
        <f>+WORLDCUP!BD66</f>
        <v>Senegal</v>
      </c>
      <c r="H74" s="5" t="str">
        <f>+WORLDCUP!BD63</f>
        <v>Japan</v>
      </c>
      <c r="I74" s="5" t="str">
        <f>+WORLDCUP!BD69</f>
        <v>Ghana</v>
      </c>
      <c r="J74" s="5" t="str">
        <f>+WORLDCUP!BD68</f>
        <v>DR Congo</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Curaçao</v>
      </c>
      <c r="D75" s="5" t="str">
        <f>+WORLDCUP!BD64</f>
        <v>Egypt</v>
      </c>
      <c r="E75" s="5" t="str">
        <f>+WORLDCUP!BD59</f>
        <v>Bosnia and Herzegovina</v>
      </c>
      <c r="F75" s="5" t="str">
        <f>+WORLDCUP!BD61</f>
        <v>Paraguay</v>
      </c>
      <c r="G75" s="5" t="str">
        <f>+WORLDCUP!BD67</f>
        <v>Jordan</v>
      </c>
      <c r="H75" s="5" t="str">
        <f>+WORLDCUP!BD63</f>
        <v>Japan</v>
      </c>
      <c r="I75" s="5" t="str">
        <f>+WORLDCUP!BD69</f>
        <v>Ghana</v>
      </c>
      <c r="J75" s="5" t="str">
        <f>+WORLDCUP!BD66</f>
        <v>Senegal</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Curaçao</v>
      </c>
      <c r="D76" s="5" t="str">
        <f>+WORLDCUP!BD64</f>
        <v>Egypt</v>
      </c>
      <c r="E76" s="5" t="str">
        <f>+WORLDCUP!BD59</f>
        <v>Bosnia and Herzegovina</v>
      </c>
      <c r="F76" s="5" t="str">
        <f>+WORLDCUP!BD61</f>
        <v>Paraguay</v>
      </c>
      <c r="G76" s="5" t="str">
        <f>+WORLDCUP!BD67</f>
        <v>Jordan</v>
      </c>
      <c r="H76" s="5" t="str">
        <f>+WORLDCUP!BD63</f>
        <v>Japan</v>
      </c>
      <c r="I76" s="5" t="str">
        <f>+WORLDCUP!BD66</f>
        <v>Senegal</v>
      </c>
      <c r="J76" s="5" t="str">
        <f>+WORLDCUP!BD68</f>
        <v>DR Congo</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Curaçao</v>
      </c>
      <c r="D77" s="5" t="str">
        <f>+WORLDCUP!BD64</f>
        <v>Egypt</v>
      </c>
      <c r="E77" s="5" t="str">
        <f>+WORLDCUP!BD59</f>
        <v>Bosnia and Herzegovina</v>
      </c>
      <c r="F77" s="5" t="str">
        <f>+WORLDCUP!BD61</f>
        <v>Paraguay</v>
      </c>
      <c r="G77" s="5" t="str">
        <f>+WORLDCUP!BD65</f>
        <v>Saudi Arabia</v>
      </c>
      <c r="H77" s="5" t="str">
        <f>+WORLDCUP!BD63</f>
        <v>Japan</v>
      </c>
      <c r="I77" s="5" t="str">
        <f>+WORLDCUP!BD69</f>
        <v>Ghana</v>
      </c>
      <c r="J77" s="5" t="str">
        <f>+WORLDCUP!BD68</f>
        <v>DR Congo</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Saudi Arabia</v>
      </c>
      <c r="D78" s="5" t="str">
        <f>+WORLDCUP!BD64</f>
        <v>Egypt</v>
      </c>
      <c r="E78" s="5" t="str">
        <f>+WORLDCUP!BD59</f>
        <v>Bosnia and Herzegovina</v>
      </c>
      <c r="F78" s="5" t="str">
        <f>+WORLDCUP!BD61</f>
        <v>Paraguay</v>
      </c>
      <c r="G78" s="5" t="str">
        <f>+WORLDCUP!BD67</f>
        <v>Jordan</v>
      </c>
      <c r="H78" s="5" t="str">
        <f>+WORLDCUP!BD63</f>
        <v>Japan</v>
      </c>
      <c r="I78" s="5" t="str">
        <f>+WORLDCUP!BD69</f>
        <v>Ghana</v>
      </c>
      <c r="J78" s="5" t="str">
        <f>+WORLDCUP!BD62</f>
        <v>Curaçao</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Saudi Arabia</v>
      </c>
      <c r="D79" s="5" t="str">
        <f>+WORLDCUP!BD64</f>
        <v>Egypt</v>
      </c>
      <c r="E79" s="5" t="str">
        <f>+WORLDCUP!BD59</f>
        <v>Bosnia and Herzegovina</v>
      </c>
      <c r="F79" s="5" t="str">
        <f>+WORLDCUP!BD61</f>
        <v>Paraguay</v>
      </c>
      <c r="G79" s="5" t="str">
        <f>+WORLDCUP!BD67</f>
        <v>Jordan</v>
      </c>
      <c r="H79" s="5" t="str">
        <f>+WORLDCUP!BD63</f>
        <v>Japan</v>
      </c>
      <c r="I79" s="5" t="str">
        <f>+WORLDCUP!BD62</f>
        <v>Curaçao</v>
      </c>
      <c r="J79" s="5" t="str">
        <f>+WORLDCUP!BD68</f>
        <v>DR Congo</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Curaçao</v>
      </c>
      <c r="D80" s="5" t="str">
        <f>+WORLDCUP!BD64</f>
        <v>Egypt</v>
      </c>
      <c r="E80" s="5" t="str">
        <f>+WORLDCUP!BD59</f>
        <v>Bosnia and Herzegovina</v>
      </c>
      <c r="F80" s="5" t="str">
        <f>+WORLDCUP!BD61</f>
        <v>Paraguay</v>
      </c>
      <c r="G80" s="5" t="str">
        <f>+WORLDCUP!BD65</f>
        <v>Saudi Arabia</v>
      </c>
      <c r="H80" s="5" t="str">
        <f>+WORLDCUP!BD63</f>
        <v>Japan</v>
      </c>
      <c r="I80" s="5" t="str">
        <f>+WORLDCUP!BD69</f>
        <v>Ghana</v>
      </c>
      <c r="J80" s="5" t="str">
        <f>+WORLDCUP!BD66</f>
        <v>Senegal</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Curaçao</v>
      </c>
      <c r="D81" s="5" t="str">
        <f>+WORLDCUP!BD64</f>
        <v>Egypt</v>
      </c>
      <c r="E81" s="5" t="str">
        <f>+WORLDCUP!BD59</f>
        <v>Bosnia and Herzegovina</v>
      </c>
      <c r="F81" s="5" t="str">
        <f>+WORLDCUP!BD61</f>
        <v>Paraguay</v>
      </c>
      <c r="G81" s="5" t="str">
        <f>+WORLDCUP!BD65</f>
        <v>Saudi Arabia</v>
      </c>
      <c r="H81" s="5" t="str">
        <f>+WORLDCUP!BD63</f>
        <v>Japan</v>
      </c>
      <c r="I81" s="5" t="str">
        <f>+WORLDCUP!BD66</f>
        <v>Senegal</v>
      </c>
      <c r="J81" s="5" t="str">
        <f>+WORLDCUP!BD68</f>
        <v>DR Congo</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Saudi Arabia</v>
      </c>
      <c r="D82" s="5" t="str">
        <f>+WORLDCUP!BD64</f>
        <v>Egypt</v>
      </c>
      <c r="E82" s="5" t="str">
        <f>+WORLDCUP!BD59</f>
        <v>Bosnia and Herzegovina</v>
      </c>
      <c r="F82" s="5" t="str">
        <f>+WORLDCUP!BD61</f>
        <v>Paraguay</v>
      </c>
      <c r="G82" s="5" t="str">
        <f>+WORLDCUP!BD67</f>
        <v>Jordan</v>
      </c>
      <c r="H82" s="5" t="str">
        <f>+WORLDCUP!BD63</f>
        <v>Japan</v>
      </c>
      <c r="I82" s="5" t="str">
        <f>+WORLDCUP!BD62</f>
        <v>Curaçao</v>
      </c>
      <c r="J82" s="5" t="str">
        <f>+WORLDCUP!BD66</f>
        <v>Senegal</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Saudi Arabia</v>
      </c>
      <c r="D83" s="5" t="str">
        <f>+WORLDCUP!BD67</f>
        <v>Jordan</v>
      </c>
      <c r="E83" s="5" t="str">
        <f>+WORLDCUP!BD59</f>
        <v>Bosnia and Herzegovina</v>
      </c>
      <c r="F83" s="5" t="str">
        <f>+WORLDCUP!BD60</f>
        <v>Scotland</v>
      </c>
      <c r="G83" s="5" t="str">
        <f>+WORLDCUP!BD66</f>
        <v>Senegal</v>
      </c>
      <c r="H83" s="5" t="str">
        <f>+WORLDCUP!BD64</f>
        <v>Egypt</v>
      </c>
      <c r="I83" s="5" t="str">
        <f>+WORLDCUP!BD69</f>
        <v>Ghana</v>
      </c>
      <c r="J83" s="5" t="str">
        <f>+WORLDCUP!BD68</f>
        <v>DR Congo</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Saudi Arabia</v>
      </c>
      <c r="D84" s="5" t="str">
        <f>+WORLDCUP!BD67</f>
        <v>Jordan</v>
      </c>
      <c r="E84" s="5" t="str">
        <f>+WORLDCUP!BD59</f>
        <v>Bosnia and Herzegovina</v>
      </c>
      <c r="F84" s="5" t="str">
        <f>+WORLDCUP!BD60</f>
        <v>Scotland</v>
      </c>
      <c r="G84" s="5" t="str">
        <f>+WORLDCUP!BD66</f>
        <v>Senegal</v>
      </c>
      <c r="H84" s="5" t="str">
        <f>+WORLDCUP!BD63</f>
        <v>Japan</v>
      </c>
      <c r="I84" s="5" t="str">
        <f>+WORLDCUP!BD69</f>
        <v>Ghana</v>
      </c>
      <c r="J84" s="5" t="str">
        <f>+WORLDCUP!BD68</f>
        <v>DR Congo</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Senegal</v>
      </c>
      <c r="D85" s="5" t="str">
        <f>+WORLDCUP!BD64</f>
        <v>Egypt</v>
      </c>
      <c r="E85" s="5" t="str">
        <f>+WORLDCUP!BD59</f>
        <v>Bosnia and Herzegovina</v>
      </c>
      <c r="F85" s="5" t="str">
        <f>+WORLDCUP!BD60</f>
        <v>Scotland</v>
      </c>
      <c r="G85" s="5" t="str">
        <f>+WORLDCUP!BD67</f>
        <v>Jordan</v>
      </c>
      <c r="H85" s="5" t="str">
        <f>+WORLDCUP!BD63</f>
        <v>Japan</v>
      </c>
      <c r="I85" s="5" t="str">
        <f>+WORLDCUP!BD69</f>
        <v>Ghana</v>
      </c>
      <c r="J85" s="5" t="str">
        <f>+WORLDCUP!BD68</f>
        <v>DR Congo</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Saudi Arabia</v>
      </c>
      <c r="D86" s="5" t="str">
        <f>+WORLDCUP!BD64</f>
        <v>Egypt</v>
      </c>
      <c r="E86" s="5" t="str">
        <f>+WORLDCUP!BD59</f>
        <v>Bosnia and Herzegovina</v>
      </c>
      <c r="F86" s="5" t="str">
        <f>+WORLDCUP!BD60</f>
        <v>Scotland</v>
      </c>
      <c r="G86" s="5" t="str">
        <f>+WORLDCUP!BD67</f>
        <v>Jordan</v>
      </c>
      <c r="H86" s="5" t="str">
        <f>+WORLDCUP!BD63</f>
        <v>Japan</v>
      </c>
      <c r="I86" s="5" t="str">
        <f>+WORLDCUP!BD69</f>
        <v>Ghana</v>
      </c>
      <c r="J86" s="5" t="str">
        <f>+WORLDCUP!BD68</f>
        <v>DR Congo</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Saudi Arabia</v>
      </c>
      <c r="D87" s="5" t="str">
        <f>+WORLDCUP!BD64</f>
        <v>Egypt</v>
      </c>
      <c r="E87" s="5" t="str">
        <f>+WORLDCUP!BD59</f>
        <v>Bosnia and Herzegovina</v>
      </c>
      <c r="F87" s="5" t="str">
        <f>+WORLDCUP!BD60</f>
        <v>Scotland</v>
      </c>
      <c r="G87" s="5" t="str">
        <f>+WORLDCUP!BD66</f>
        <v>Senegal</v>
      </c>
      <c r="H87" s="5" t="str">
        <f>+WORLDCUP!BD63</f>
        <v>Japan</v>
      </c>
      <c r="I87" s="5" t="str">
        <f>+WORLDCUP!BD69</f>
        <v>Ghana</v>
      </c>
      <c r="J87" s="5" t="str">
        <f>+WORLDCUP!BD68</f>
        <v>DR Congo</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Saudi Arabia</v>
      </c>
      <c r="D88" s="5" t="str">
        <f>+WORLDCUP!BD64</f>
        <v>Egypt</v>
      </c>
      <c r="E88" s="5" t="str">
        <f>+WORLDCUP!BD59</f>
        <v>Bosnia and Herzegovina</v>
      </c>
      <c r="F88" s="5" t="str">
        <f>+WORLDCUP!BD60</f>
        <v>Scotland</v>
      </c>
      <c r="G88" s="5" t="str">
        <f>+WORLDCUP!BD67</f>
        <v>Jordan</v>
      </c>
      <c r="H88" s="5" t="str">
        <f>+WORLDCUP!BD63</f>
        <v>Japan</v>
      </c>
      <c r="I88" s="5" t="str">
        <f>+WORLDCUP!BD69</f>
        <v>Ghana</v>
      </c>
      <c r="J88" s="5" t="str">
        <f>+WORLDCUP!BD66</f>
        <v>Senegal</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Saudi Arabia</v>
      </c>
      <c r="D89" s="5" t="str">
        <f>+WORLDCUP!BD64</f>
        <v>Egypt</v>
      </c>
      <c r="E89" s="5" t="str">
        <f>+WORLDCUP!BD59</f>
        <v>Bosnia and Herzegovina</v>
      </c>
      <c r="F89" s="5" t="str">
        <f>+WORLDCUP!BD60</f>
        <v>Scotland</v>
      </c>
      <c r="G89" s="5" t="str">
        <f>+WORLDCUP!BD67</f>
        <v>Jordan</v>
      </c>
      <c r="H89" s="5" t="str">
        <f>+WORLDCUP!BD63</f>
        <v>Japan</v>
      </c>
      <c r="I89" s="5" t="str">
        <f>+WORLDCUP!BD66</f>
        <v>Senegal</v>
      </c>
      <c r="J89" s="5" t="str">
        <f>+WORLDCUP!BD68</f>
        <v>DR Congo</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Curaçao</v>
      </c>
      <c r="D90" s="5" t="str">
        <f>+WORLDCUP!BD67</f>
        <v>Jordan</v>
      </c>
      <c r="E90" s="5" t="str">
        <f>+WORLDCUP!BD59</f>
        <v>Bosnia and Herzegovina</v>
      </c>
      <c r="F90" s="5" t="str">
        <f>+WORLDCUP!BD60</f>
        <v>Scotland</v>
      </c>
      <c r="G90" s="5" t="str">
        <f>+WORLDCUP!BD66</f>
        <v>Senegal</v>
      </c>
      <c r="H90" s="5" t="str">
        <f>+WORLDCUP!BD65</f>
        <v>Saudi Arabia</v>
      </c>
      <c r="I90" s="5" t="str">
        <f>+WORLDCUP!BD69</f>
        <v>Ghana</v>
      </c>
      <c r="J90" s="5" t="str">
        <f>+WORLDCUP!BD68</f>
        <v>DR Congo</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Curaçao</v>
      </c>
      <c r="D91" s="5" t="str">
        <f>+WORLDCUP!BD67</f>
        <v>Jordan</v>
      </c>
      <c r="E91" s="5" t="str">
        <f>+WORLDCUP!BD59</f>
        <v>Bosnia and Herzegovina</v>
      </c>
      <c r="F91" s="5" t="str">
        <f>+WORLDCUP!BD60</f>
        <v>Scotland</v>
      </c>
      <c r="G91" s="5" t="str">
        <f>+WORLDCUP!BD66</f>
        <v>Senegal</v>
      </c>
      <c r="H91" s="5" t="str">
        <f>+WORLDCUP!BD64</f>
        <v>Egypt</v>
      </c>
      <c r="I91" s="5" t="str">
        <f>+WORLDCUP!BD69</f>
        <v>Ghana</v>
      </c>
      <c r="J91" s="5" t="str">
        <f>+WORLDCUP!BD68</f>
        <v>DR Congo</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Curaçao</v>
      </c>
      <c r="D92" s="5" t="str">
        <f>+WORLDCUP!BD67</f>
        <v>Jordan</v>
      </c>
      <c r="E92" s="5" t="str">
        <f>+WORLDCUP!BD59</f>
        <v>Bosnia and Herzegovina</v>
      </c>
      <c r="F92" s="5" t="str">
        <f>+WORLDCUP!BD60</f>
        <v>Scotland</v>
      </c>
      <c r="G92" s="5" t="str">
        <f>+WORLDCUP!BD65</f>
        <v>Saudi Arabia</v>
      </c>
      <c r="H92" s="5" t="str">
        <f>+WORLDCUP!BD64</f>
        <v>Egypt</v>
      </c>
      <c r="I92" s="5" t="str">
        <f>+WORLDCUP!BD69</f>
        <v>Ghana</v>
      </c>
      <c r="J92" s="5" t="str">
        <f>+WORLDCUP!BD68</f>
        <v>DR Congo</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Curaçao</v>
      </c>
      <c r="D93" s="5" t="str">
        <f>+WORLDCUP!BD64</f>
        <v>Egypt</v>
      </c>
      <c r="E93" s="5" t="str">
        <f>+WORLDCUP!BD59</f>
        <v>Bosnia and Herzegovina</v>
      </c>
      <c r="F93" s="5" t="str">
        <f>+WORLDCUP!BD60</f>
        <v>Scotland</v>
      </c>
      <c r="G93" s="5" t="str">
        <f>+WORLDCUP!BD66</f>
        <v>Senegal</v>
      </c>
      <c r="H93" s="5" t="str">
        <f>+WORLDCUP!BD65</f>
        <v>Saudi Arabia</v>
      </c>
      <c r="I93" s="5" t="str">
        <f>+WORLDCUP!BD69</f>
        <v>Ghana</v>
      </c>
      <c r="J93" s="5" t="str">
        <f>+WORLDCUP!BD68</f>
        <v>DR Congo</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Curaçao</v>
      </c>
      <c r="D94" s="5" t="str">
        <f>+WORLDCUP!BD67</f>
        <v>Jordan</v>
      </c>
      <c r="E94" s="5" t="str">
        <f>+WORLDCUP!BD59</f>
        <v>Bosnia and Herzegovina</v>
      </c>
      <c r="F94" s="5" t="str">
        <f>+WORLDCUP!BD60</f>
        <v>Scotland</v>
      </c>
      <c r="G94" s="5" t="str">
        <f>+WORLDCUP!BD65</f>
        <v>Saudi Arabia</v>
      </c>
      <c r="H94" s="5" t="str">
        <f>+WORLDCUP!BD64</f>
        <v>Egypt</v>
      </c>
      <c r="I94" s="5" t="str">
        <f>+WORLDCUP!BD69</f>
        <v>Ghana</v>
      </c>
      <c r="J94" s="5" t="str">
        <f>+WORLDCUP!BD66</f>
        <v>Senegal</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Curaçao</v>
      </c>
      <c r="D95" s="5" t="str">
        <f>+WORLDCUP!BD67</f>
        <v>Jordan</v>
      </c>
      <c r="E95" s="5" t="str">
        <f>+WORLDCUP!BD59</f>
        <v>Bosnia and Herzegovina</v>
      </c>
      <c r="F95" s="5" t="str">
        <f>+WORLDCUP!BD60</f>
        <v>Scotland</v>
      </c>
      <c r="G95" s="5" t="str">
        <f>+WORLDCUP!BD65</f>
        <v>Saudi Arabia</v>
      </c>
      <c r="H95" s="5" t="str">
        <f>+WORLDCUP!BD64</f>
        <v>Egypt</v>
      </c>
      <c r="I95" s="5" t="str">
        <f>+WORLDCUP!BD66</f>
        <v>Senegal</v>
      </c>
      <c r="J95" s="5" t="str">
        <f>+WORLDCUP!BD68</f>
        <v>DR Congo</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Curaçao</v>
      </c>
      <c r="D96" s="5" t="str">
        <f>+WORLDCUP!BD67</f>
        <v>Jordan</v>
      </c>
      <c r="E96" s="5" t="str">
        <f>+WORLDCUP!BD59</f>
        <v>Bosnia and Herzegovina</v>
      </c>
      <c r="F96" s="5" t="str">
        <f>+WORLDCUP!BD60</f>
        <v>Scotland</v>
      </c>
      <c r="G96" s="5" t="str">
        <f>+WORLDCUP!BD66</f>
        <v>Senegal</v>
      </c>
      <c r="H96" s="5" t="str">
        <f>+WORLDCUP!BD63</f>
        <v>Japan</v>
      </c>
      <c r="I96" s="5" t="str">
        <f>+WORLDCUP!BD69</f>
        <v>Ghana</v>
      </c>
      <c r="J96" s="5" t="str">
        <f>+WORLDCUP!BD68</f>
        <v>DR Congo</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Curaçao</v>
      </c>
      <c r="D97" s="5" t="str">
        <f>+WORLDCUP!BD67</f>
        <v>Jordan</v>
      </c>
      <c r="E97" s="5" t="str">
        <f>+WORLDCUP!BD59</f>
        <v>Bosnia and Herzegovina</v>
      </c>
      <c r="F97" s="5" t="str">
        <f>+WORLDCUP!BD60</f>
        <v>Scotland</v>
      </c>
      <c r="G97" s="5" t="str">
        <f>+WORLDCUP!BD65</f>
        <v>Saudi Arabia</v>
      </c>
      <c r="H97" s="5" t="str">
        <f>+WORLDCUP!BD63</f>
        <v>Japan</v>
      </c>
      <c r="I97" s="5" t="str">
        <f>+WORLDCUP!BD69</f>
        <v>Ghana</v>
      </c>
      <c r="J97" s="5" t="str">
        <f>+WORLDCUP!BD68</f>
        <v>DR Congo</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Curaçao</v>
      </c>
      <c r="D98" s="5" t="str">
        <f>+WORLDCUP!BD66</f>
        <v>Senegal</v>
      </c>
      <c r="E98" s="5" t="str">
        <f>+WORLDCUP!BD59</f>
        <v>Bosnia and Herzegovina</v>
      </c>
      <c r="F98" s="5" t="str">
        <f>+WORLDCUP!BD60</f>
        <v>Scotland</v>
      </c>
      <c r="G98" s="5" t="str">
        <f>+WORLDCUP!BD65</f>
        <v>Saudi Arabia</v>
      </c>
      <c r="H98" s="5" t="str">
        <f>+WORLDCUP!BD63</f>
        <v>Japan</v>
      </c>
      <c r="I98" s="5" t="str">
        <f>+WORLDCUP!BD69</f>
        <v>Ghana</v>
      </c>
      <c r="J98" s="5" t="str">
        <f>+WORLDCUP!BD68</f>
        <v>DR Congo</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Curaçao</v>
      </c>
      <c r="D99" s="5" t="str">
        <f>+WORLDCUP!BD67</f>
        <v>Jordan</v>
      </c>
      <c r="E99" s="5" t="str">
        <f>+WORLDCUP!BD59</f>
        <v>Bosnia and Herzegovina</v>
      </c>
      <c r="F99" s="5" t="str">
        <f>+WORLDCUP!BD60</f>
        <v>Scotland</v>
      </c>
      <c r="G99" s="5" t="str">
        <f>+WORLDCUP!BD65</f>
        <v>Saudi Arabia</v>
      </c>
      <c r="H99" s="5" t="str">
        <f>+WORLDCUP!BD63</f>
        <v>Japan</v>
      </c>
      <c r="I99" s="5" t="str">
        <f>+WORLDCUP!BD69</f>
        <v>Ghana</v>
      </c>
      <c r="J99" s="5" t="str">
        <f>+WORLDCUP!BD66</f>
        <v>Senegal</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Curaçao</v>
      </c>
      <c r="D100" s="5" t="str">
        <f>+WORLDCUP!BD67</f>
        <v>Jordan</v>
      </c>
      <c r="E100" s="5" t="str">
        <f>+WORLDCUP!BD59</f>
        <v>Bosnia and Herzegovina</v>
      </c>
      <c r="F100" s="5" t="str">
        <f>+WORLDCUP!BD60</f>
        <v>Scotland</v>
      </c>
      <c r="G100" s="5" t="str">
        <f>+WORLDCUP!BD65</f>
        <v>Saudi Arabia</v>
      </c>
      <c r="H100" s="5" t="str">
        <f>+WORLDCUP!BD63</f>
        <v>Japan</v>
      </c>
      <c r="I100" s="5" t="str">
        <f>+WORLDCUP!BD66</f>
        <v>Senegal</v>
      </c>
      <c r="J100" s="5" t="str">
        <f>+WORLDCUP!BD68</f>
        <v>DR Congo</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Curaçao</v>
      </c>
      <c r="D101" s="5" t="str">
        <f>+WORLDCUP!BD64</f>
        <v>Egypt</v>
      </c>
      <c r="E101" s="5" t="str">
        <f>+WORLDCUP!BD59</f>
        <v>Bosnia and Herzegovina</v>
      </c>
      <c r="F101" s="5" t="str">
        <f>+WORLDCUP!BD60</f>
        <v>Scotland</v>
      </c>
      <c r="G101" s="5" t="str">
        <f>+WORLDCUP!BD67</f>
        <v>Jordan</v>
      </c>
      <c r="H101" s="5" t="str">
        <f>+WORLDCUP!BD63</f>
        <v>Japan</v>
      </c>
      <c r="I101" s="5" t="str">
        <f>+WORLDCUP!BD69</f>
        <v>Ghana</v>
      </c>
      <c r="J101" s="5" t="str">
        <f>+WORLDCUP!BD68</f>
        <v>DR Congo</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Curaçao</v>
      </c>
      <c r="D102" s="5" t="str">
        <f>+WORLDCUP!BD64</f>
        <v>Egypt</v>
      </c>
      <c r="E102" s="5" t="str">
        <f>+WORLDCUP!BD59</f>
        <v>Bosnia and Herzegovina</v>
      </c>
      <c r="F102" s="5" t="str">
        <f>+WORLDCUP!BD60</f>
        <v>Scotland</v>
      </c>
      <c r="G102" s="5" t="str">
        <f>+WORLDCUP!BD66</f>
        <v>Senegal</v>
      </c>
      <c r="H102" s="5" t="str">
        <f>+WORLDCUP!BD63</f>
        <v>Japan</v>
      </c>
      <c r="I102" s="5" t="str">
        <f>+WORLDCUP!BD69</f>
        <v>Ghana</v>
      </c>
      <c r="J102" s="5" t="str">
        <f>+WORLDCUP!BD68</f>
        <v>DR Congo</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Curaçao</v>
      </c>
      <c r="D103" s="5" t="str">
        <f>+WORLDCUP!BD64</f>
        <v>Egypt</v>
      </c>
      <c r="E103" s="5" t="str">
        <f>+WORLDCUP!BD59</f>
        <v>Bosnia and Herzegovina</v>
      </c>
      <c r="F103" s="5" t="str">
        <f>+WORLDCUP!BD60</f>
        <v>Scotland</v>
      </c>
      <c r="G103" s="5" t="str">
        <f>+WORLDCUP!BD67</f>
        <v>Jordan</v>
      </c>
      <c r="H103" s="5" t="str">
        <f>+WORLDCUP!BD63</f>
        <v>Japan</v>
      </c>
      <c r="I103" s="5" t="str">
        <f>+WORLDCUP!BD69</f>
        <v>Ghana</v>
      </c>
      <c r="J103" s="5" t="str">
        <f>+WORLDCUP!BD66</f>
        <v>Senegal</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Curaçao</v>
      </c>
      <c r="D104" s="5" t="str">
        <f>+WORLDCUP!BD64</f>
        <v>Egypt</v>
      </c>
      <c r="E104" s="5" t="str">
        <f>+WORLDCUP!BD59</f>
        <v>Bosnia and Herzegovina</v>
      </c>
      <c r="F104" s="5" t="str">
        <f>+WORLDCUP!BD60</f>
        <v>Scotland</v>
      </c>
      <c r="G104" s="5" t="str">
        <f>+WORLDCUP!BD67</f>
        <v>Jordan</v>
      </c>
      <c r="H104" s="5" t="str">
        <f>+WORLDCUP!BD63</f>
        <v>Japan</v>
      </c>
      <c r="I104" s="5" t="str">
        <f>+WORLDCUP!BD66</f>
        <v>Senegal</v>
      </c>
      <c r="J104" s="5" t="str">
        <f>+WORLDCUP!BD68</f>
        <v>DR Congo</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Curaçao</v>
      </c>
      <c r="D105" s="5" t="str">
        <f>+WORLDCUP!BD64</f>
        <v>Egypt</v>
      </c>
      <c r="E105" s="5" t="str">
        <f>+WORLDCUP!BD59</f>
        <v>Bosnia and Herzegovina</v>
      </c>
      <c r="F105" s="5" t="str">
        <f>+WORLDCUP!BD60</f>
        <v>Scotland</v>
      </c>
      <c r="G105" s="5" t="str">
        <f>+WORLDCUP!BD65</f>
        <v>Saudi Arabia</v>
      </c>
      <c r="H105" s="5" t="str">
        <f>+WORLDCUP!BD63</f>
        <v>Japan</v>
      </c>
      <c r="I105" s="5" t="str">
        <f>+WORLDCUP!BD69</f>
        <v>Ghana</v>
      </c>
      <c r="J105" s="5" t="str">
        <f>+WORLDCUP!BD68</f>
        <v>DR Congo</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Saudi Arabia</v>
      </c>
      <c r="D106" s="5" t="str">
        <f>+WORLDCUP!BD64</f>
        <v>Egypt</v>
      </c>
      <c r="E106" s="5" t="str">
        <f>+WORLDCUP!BD59</f>
        <v>Bosnia and Herzegovina</v>
      </c>
      <c r="F106" s="5" t="str">
        <f>+WORLDCUP!BD60</f>
        <v>Scotland</v>
      </c>
      <c r="G106" s="5" t="str">
        <f>+WORLDCUP!BD67</f>
        <v>Jordan</v>
      </c>
      <c r="H106" s="5" t="str">
        <f>+WORLDCUP!BD63</f>
        <v>Japan</v>
      </c>
      <c r="I106" s="5" t="str">
        <f>+WORLDCUP!BD69</f>
        <v>Ghana</v>
      </c>
      <c r="J106" s="5" t="str">
        <f>+WORLDCUP!BD62</f>
        <v>Curaçao</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Saudi Arabia</v>
      </c>
      <c r="D107" s="5" t="str">
        <f>+WORLDCUP!BD64</f>
        <v>Egypt</v>
      </c>
      <c r="E107" s="5" t="str">
        <f>+WORLDCUP!BD59</f>
        <v>Bosnia and Herzegovina</v>
      </c>
      <c r="F107" s="5" t="str">
        <f>+WORLDCUP!BD60</f>
        <v>Scotland</v>
      </c>
      <c r="G107" s="5" t="str">
        <f>+WORLDCUP!BD67</f>
        <v>Jordan</v>
      </c>
      <c r="H107" s="5" t="str">
        <f>+WORLDCUP!BD63</f>
        <v>Japan</v>
      </c>
      <c r="I107" s="5" t="str">
        <f>+WORLDCUP!BD62</f>
        <v>Curaçao</v>
      </c>
      <c r="J107" s="5" t="str">
        <f>+WORLDCUP!BD68</f>
        <v>DR Congo</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Curaçao</v>
      </c>
      <c r="D108" s="5" t="str">
        <f>+WORLDCUP!BD64</f>
        <v>Egypt</v>
      </c>
      <c r="E108" s="5" t="str">
        <f>+WORLDCUP!BD59</f>
        <v>Bosnia and Herzegovina</v>
      </c>
      <c r="F108" s="5" t="str">
        <f>+WORLDCUP!BD60</f>
        <v>Scotland</v>
      </c>
      <c r="G108" s="5" t="str">
        <f>+WORLDCUP!BD65</f>
        <v>Saudi Arabia</v>
      </c>
      <c r="H108" s="5" t="str">
        <f>+WORLDCUP!BD63</f>
        <v>Japan</v>
      </c>
      <c r="I108" s="5" t="str">
        <f>+WORLDCUP!BD69</f>
        <v>Ghana</v>
      </c>
      <c r="J108" s="5" t="str">
        <f>+WORLDCUP!BD66</f>
        <v>Senegal</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Curaçao</v>
      </c>
      <c r="D109" s="5" t="str">
        <f>+WORLDCUP!BD64</f>
        <v>Egypt</v>
      </c>
      <c r="E109" s="5" t="str">
        <f>+WORLDCUP!BD59</f>
        <v>Bosnia and Herzegovina</v>
      </c>
      <c r="F109" s="5" t="str">
        <f>+WORLDCUP!BD60</f>
        <v>Scotland</v>
      </c>
      <c r="G109" s="5" t="str">
        <f>+WORLDCUP!BD65</f>
        <v>Saudi Arabia</v>
      </c>
      <c r="H109" s="5" t="str">
        <f>+WORLDCUP!BD63</f>
        <v>Japan</v>
      </c>
      <c r="I109" s="5" t="str">
        <f>+WORLDCUP!BD66</f>
        <v>Senegal</v>
      </c>
      <c r="J109" s="5" t="str">
        <f>+WORLDCUP!BD68</f>
        <v>DR Congo</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Saudi Arabia</v>
      </c>
      <c r="D110" s="5" t="str">
        <f>+WORLDCUP!BD64</f>
        <v>Egypt</v>
      </c>
      <c r="E110" s="5" t="str">
        <f>+WORLDCUP!BD59</f>
        <v>Bosnia and Herzegovina</v>
      </c>
      <c r="F110" s="5" t="str">
        <f>+WORLDCUP!BD60</f>
        <v>Scotland</v>
      </c>
      <c r="G110" s="5" t="str">
        <f>+WORLDCUP!BD67</f>
        <v>Jordan</v>
      </c>
      <c r="H110" s="5" t="str">
        <f>+WORLDCUP!BD63</f>
        <v>Japan</v>
      </c>
      <c r="I110" s="5" t="str">
        <f>+WORLDCUP!BD62</f>
        <v>Curaçao</v>
      </c>
      <c r="J110" s="5" t="str">
        <f>+WORLDCUP!BD66</f>
        <v>Senegal</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Saudi Arabia</v>
      </c>
      <c r="D111" s="5" t="str">
        <f>+WORLDCUP!BD67</f>
        <v>Jordan</v>
      </c>
      <c r="E111" s="5" t="str">
        <f>+WORLDCUP!BD59</f>
        <v>Bosnia and Herzegovina</v>
      </c>
      <c r="F111" s="5" t="str">
        <f>+WORLDCUP!BD60</f>
        <v>Scotland</v>
      </c>
      <c r="G111" s="5" t="str">
        <f>+WORLDCUP!BD66</f>
        <v>Senegal</v>
      </c>
      <c r="H111" s="5" t="str">
        <f>+WORLDCUP!BD61</f>
        <v>Paraguay</v>
      </c>
      <c r="I111" s="5" t="str">
        <f>+WORLDCUP!BD69</f>
        <v>Ghana</v>
      </c>
      <c r="J111" s="5" t="str">
        <f>+WORLDCUP!BD68</f>
        <v>DR Congo</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Senegal</v>
      </c>
      <c r="D112" s="5" t="str">
        <f>+WORLDCUP!BD64</f>
        <v>Egypt</v>
      </c>
      <c r="E112" s="5" t="str">
        <f>+WORLDCUP!BD59</f>
        <v>Bosnia and Herzegovina</v>
      </c>
      <c r="F112" s="5" t="str">
        <f>+WORLDCUP!BD60</f>
        <v>Scotland</v>
      </c>
      <c r="G112" s="5" t="str">
        <f>+WORLDCUP!BD67</f>
        <v>Jordan</v>
      </c>
      <c r="H112" s="5" t="str">
        <f>+WORLDCUP!BD61</f>
        <v>Paraguay</v>
      </c>
      <c r="I112" s="5" t="str">
        <f>+WORLDCUP!BD69</f>
        <v>Ghana</v>
      </c>
      <c r="J112" s="5" t="str">
        <f>+WORLDCUP!BD68</f>
        <v>DR Congo</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Saudi Arabia</v>
      </c>
      <c r="D113" s="5" t="str">
        <f>+WORLDCUP!BD64</f>
        <v>Egypt</v>
      </c>
      <c r="E113" s="5" t="str">
        <f>+WORLDCUP!BD59</f>
        <v>Bosnia and Herzegovina</v>
      </c>
      <c r="F113" s="5" t="str">
        <f>+WORLDCUP!BD60</f>
        <v>Scotland</v>
      </c>
      <c r="G113" s="5" t="str">
        <f>+WORLDCUP!BD67</f>
        <v>Jordan</v>
      </c>
      <c r="H113" s="5" t="str">
        <f>+WORLDCUP!BD61</f>
        <v>Paraguay</v>
      </c>
      <c r="I113" s="5" t="str">
        <f>+WORLDCUP!BD69</f>
        <v>Ghana</v>
      </c>
      <c r="J113" s="5" t="str">
        <f>+WORLDCUP!BD68</f>
        <v>DR Congo</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Saudi Arabia</v>
      </c>
      <c r="D114" s="5" t="str">
        <f>+WORLDCUP!BD64</f>
        <v>Egypt</v>
      </c>
      <c r="E114" s="5" t="str">
        <f>+WORLDCUP!BD59</f>
        <v>Bosnia and Herzegovina</v>
      </c>
      <c r="F114" s="5" t="str">
        <f>+WORLDCUP!BD60</f>
        <v>Scotland</v>
      </c>
      <c r="G114" s="5" t="str">
        <f>+WORLDCUP!BD66</f>
        <v>Senegal</v>
      </c>
      <c r="H114" s="5" t="str">
        <f>+WORLDCUP!BD61</f>
        <v>Paraguay</v>
      </c>
      <c r="I114" s="5" t="str">
        <f>+WORLDCUP!BD69</f>
        <v>Ghana</v>
      </c>
      <c r="J114" s="5" t="str">
        <f>+WORLDCUP!BD68</f>
        <v>DR Congo</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Saudi Arabia</v>
      </c>
      <c r="D115" s="5" t="str">
        <f>+WORLDCUP!BD64</f>
        <v>Egypt</v>
      </c>
      <c r="E115" s="5" t="str">
        <f>+WORLDCUP!BD59</f>
        <v>Bosnia and Herzegovina</v>
      </c>
      <c r="F115" s="5" t="str">
        <f>+WORLDCUP!BD60</f>
        <v>Scotland</v>
      </c>
      <c r="G115" s="5" t="str">
        <f>+WORLDCUP!BD67</f>
        <v>Jordan</v>
      </c>
      <c r="H115" s="5" t="str">
        <f>+WORLDCUP!BD61</f>
        <v>Paraguay</v>
      </c>
      <c r="I115" s="5" t="str">
        <f>+WORLDCUP!BD69</f>
        <v>Ghana</v>
      </c>
      <c r="J115" s="5" t="str">
        <f>+WORLDCUP!BD66</f>
        <v>Senegal</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Saudi Arabia</v>
      </c>
      <c r="D116" s="5" t="str">
        <f>+WORLDCUP!BD64</f>
        <v>Egypt</v>
      </c>
      <c r="E116" s="5" t="str">
        <f>+WORLDCUP!BD59</f>
        <v>Bosnia and Herzegovina</v>
      </c>
      <c r="F116" s="5" t="str">
        <f>+WORLDCUP!BD60</f>
        <v>Scotland</v>
      </c>
      <c r="G116" s="5" t="str">
        <f>+WORLDCUP!BD67</f>
        <v>Jordan</v>
      </c>
      <c r="H116" s="5" t="str">
        <f>+WORLDCUP!BD61</f>
        <v>Paraguay</v>
      </c>
      <c r="I116" s="5" t="str">
        <f>+WORLDCUP!BD66</f>
        <v>Senegal</v>
      </c>
      <c r="J116" s="5" t="str">
        <f>+WORLDCUP!BD68</f>
        <v>DR Congo</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Scotland</v>
      </c>
      <c r="D117" s="5" t="str">
        <f>+WORLDCUP!BD67</f>
        <v>Jordan</v>
      </c>
      <c r="E117" s="5" t="str">
        <f>+WORLDCUP!BD59</f>
        <v>Bosnia and Herzegovina</v>
      </c>
      <c r="F117" s="5" t="str">
        <f>+WORLDCUP!BD61</f>
        <v>Paraguay</v>
      </c>
      <c r="G117" s="5" t="str">
        <f>+WORLDCUP!BD66</f>
        <v>Senegal</v>
      </c>
      <c r="H117" s="5" t="str">
        <f>+WORLDCUP!BD63</f>
        <v>Japan</v>
      </c>
      <c r="I117" s="5" t="str">
        <f>+WORLDCUP!BD69</f>
        <v>Ghana</v>
      </c>
      <c r="J117" s="5" t="str">
        <f>+WORLDCUP!BD68</f>
        <v>DR Congo</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Scotland</v>
      </c>
      <c r="D118" s="5" t="str">
        <f>+WORLDCUP!BD67</f>
        <v>Jordan</v>
      </c>
      <c r="E118" s="5" t="str">
        <f>+WORLDCUP!BD59</f>
        <v>Bosnia and Herzegovina</v>
      </c>
      <c r="F118" s="5" t="str">
        <f>+WORLDCUP!BD61</f>
        <v>Paraguay</v>
      </c>
      <c r="G118" s="5" t="str">
        <f>+WORLDCUP!BD65</f>
        <v>Saudi Arabia</v>
      </c>
      <c r="H118" s="5" t="str">
        <f>+WORLDCUP!BD63</f>
        <v>Japan</v>
      </c>
      <c r="I118" s="5" t="str">
        <f>+WORLDCUP!BD69</f>
        <v>Ghana</v>
      </c>
      <c r="J118" s="5" t="str">
        <f>+WORLDCUP!BD68</f>
        <v>DR Congo</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Scotland</v>
      </c>
      <c r="D119" s="5" t="str">
        <f>+WORLDCUP!BD66</f>
        <v>Senegal</v>
      </c>
      <c r="E119" s="5" t="str">
        <f>+WORLDCUP!BD59</f>
        <v>Bosnia and Herzegovina</v>
      </c>
      <c r="F119" s="5" t="str">
        <f>+WORLDCUP!BD61</f>
        <v>Paraguay</v>
      </c>
      <c r="G119" s="5" t="str">
        <f>+WORLDCUP!BD65</f>
        <v>Saudi Arabia</v>
      </c>
      <c r="H119" s="5" t="str">
        <f>+WORLDCUP!BD63</f>
        <v>Japan</v>
      </c>
      <c r="I119" s="5" t="str">
        <f>+WORLDCUP!BD69</f>
        <v>Ghana</v>
      </c>
      <c r="J119" s="5" t="str">
        <f>+WORLDCUP!BD68</f>
        <v>DR Congo</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Scotland</v>
      </c>
      <c r="D120" s="5" t="str">
        <f>+WORLDCUP!BD67</f>
        <v>Jordan</v>
      </c>
      <c r="E120" s="5" t="str">
        <f>+WORLDCUP!BD59</f>
        <v>Bosnia and Herzegovina</v>
      </c>
      <c r="F120" s="5" t="str">
        <f>+WORLDCUP!BD61</f>
        <v>Paraguay</v>
      </c>
      <c r="G120" s="5" t="str">
        <f>+WORLDCUP!BD65</f>
        <v>Saudi Arabia</v>
      </c>
      <c r="H120" s="5" t="str">
        <f>+WORLDCUP!BD63</f>
        <v>Japan</v>
      </c>
      <c r="I120" s="5" t="str">
        <f>+WORLDCUP!BD69</f>
        <v>Ghana</v>
      </c>
      <c r="J120" s="5" t="str">
        <f>+WORLDCUP!BD66</f>
        <v>Senegal</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Scotland</v>
      </c>
      <c r="D121" s="5" t="str">
        <f>+WORLDCUP!BD67</f>
        <v>Jordan</v>
      </c>
      <c r="E121" s="5" t="str">
        <f>+WORLDCUP!BD59</f>
        <v>Bosnia and Herzegovina</v>
      </c>
      <c r="F121" s="5" t="str">
        <f>+WORLDCUP!BD61</f>
        <v>Paraguay</v>
      </c>
      <c r="G121" s="5" t="str">
        <f>+WORLDCUP!BD65</f>
        <v>Saudi Arabia</v>
      </c>
      <c r="H121" s="5" t="str">
        <f>+WORLDCUP!BD63</f>
        <v>Japan</v>
      </c>
      <c r="I121" s="5" t="str">
        <f>+WORLDCUP!BD66</f>
        <v>Senegal</v>
      </c>
      <c r="J121" s="5" t="str">
        <f>+WORLDCUP!BD68</f>
        <v>DR Congo</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Scotland</v>
      </c>
      <c r="D122" s="5" t="str">
        <f>+WORLDCUP!BD64</f>
        <v>Egypt</v>
      </c>
      <c r="E122" s="5" t="str">
        <f>+WORLDCUP!BD59</f>
        <v>Bosnia and Herzegovina</v>
      </c>
      <c r="F122" s="5" t="str">
        <f>+WORLDCUP!BD61</f>
        <v>Paraguay</v>
      </c>
      <c r="G122" s="5" t="str">
        <f>+WORLDCUP!BD67</f>
        <v>Jordan</v>
      </c>
      <c r="H122" s="5" t="str">
        <f>+WORLDCUP!BD63</f>
        <v>Japan</v>
      </c>
      <c r="I122" s="5" t="str">
        <f>+WORLDCUP!BD69</f>
        <v>Ghana</v>
      </c>
      <c r="J122" s="5" t="str">
        <f>+WORLDCUP!BD68</f>
        <v>DR Congo</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Scotland</v>
      </c>
      <c r="D123" s="5" t="str">
        <f>+WORLDCUP!BD64</f>
        <v>Egypt</v>
      </c>
      <c r="E123" s="5" t="str">
        <f>+WORLDCUP!BD59</f>
        <v>Bosnia and Herzegovina</v>
      </c>
      <c r="F123" s="5" t="str">
        <f>+WORLDCUP!BD61</f>
        <v>Paraguay</v>
      </c>
      <c r="G123" s="5" t="str">
        <f>+WORLDCUP!BD66</f>
        <v>Senegal</v>
      </c>
      <c r="H123" s="5" t="str">
        <f>+WORLDCUP!BD63</f>
        <v>Japan</v>
      </c>
      <c r="I123" s="5" t="str">
        <f>+WORLDCUP!BD69</f>
        <v>Ghana</v>
      </c>
      <c r="J123" s="5" t="str">
        <f>+WORLDCUP!BD68</f>
        <v>DR Congo</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Scotland</v>
      </c>
      <c r="D124" s="5" t="str">
        <f>+WORLDCUP!BD64</f>
        <v>Egypt</v>
      </c>
      <c r="E124" s="5" t="str">
        <f>+WORLDCUP!BD59</f>
        <v>Bosnia and Herzegovina</v>
      </c>
      <c r="F124" s="5" t="str">
        <f>+WORLDCUP!BD61</f>
        <v>Paraguay</v>
      </c>
      <c r="G124" s="5" t="str">
        <f>+WORLDCUP!BD67</f>
        <v>Jordan</v>
      </c>
      <c r="H124" s="5" t="str">
        <f>+WORLDCUP!BD63</f>
        <v>Japan</v>
      </c>
      <c r="I124" s="5" t="str">
        <f>+WORLDCUP!BD69</f>
        <v>Ghana</v>
      </c>
      <c r="J124" s="5" t="str">
        <f>+WORLDCUP!BD66</f>
        <v>Senegal</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Scotland</v>
      </c>
      <c r="D125" s="5" t="str">
        <f>+WORLDCUP!BD64</f>
        <v>Egypt</v>
      </c>
      <c r="E125" s="5" t="str">
        <f>+WORLDCUP!BD59</f>
        <v>Bosnia and Herzegovina</v>
      </c>
      <c r="F125" s="5" t="str">
        <f>+WORLDCUP!BD61</f>
        <v>Paraguay</v>
      </c>
      <c r="G125" s="5" t="str">
        <f>+WORLDCUP!BD67</f>
        <v>Jordan</v>
      </c>
      <c r="H125" s="5" t="str">
        <f>+WORLDCUP!BD63</f>
        <v>Japan</v>
      </c>
      <c r="I125" s="5" t="str">
        <f>+WORLDCUP!BD66</f>
        <v>Senegal</v>
      </c>
      <c r="J125" s="5" t="str">
        <f>+WORLDCUP!BD68</f>
        <v>DR Congo</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Scotland</v>
      </c>
      <c r="D126" s="5" t="str">
        <f>+WORLDCUP!BD64</f>
        <v>Egypt</v>
      </c>
      <c r="E126" s="5" t="str">
        <f>+WORLDCUP!BD59</f>
        <v>Bosnia and Herzegovina</v>
      </c>
      <c r="F126" s="5" t="str">
        <f>+WORLDCUP!BD61</f>
        <v>Paraguay</v>
      </c>
      <c r="G126" s="5" t="str">
        <f>+WORLDCUP!BD65</f>
        <v>Saudi Arabia</v>
      </c>
      <c r="H126" s="5" t="str">
        <f>+WORLDCUP!BD63</f>
        <v>Japan</v>
      </c>
      <c r="I126" s="5" t="str">
        <f>+WORLDCUP!BD69</f>
        <v>Ghana</v>
      </c>
      <c r="J126" s="5" t="str">
        <f>+WORLDCUP!BD68</f>
        <v>DR Congo</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Scotland</v>
      </c>
      <c r="D127" s="5" t="str">
        <f>+WORLDCUP!BD64</f>
        <v>Egypt</v>
      </c>
      <c r="E127" s="5" t="str">
        <f>+WORLDCUP!BD59</f>
        <v>Bosnia and Herzegovina</v>
      </c>
      <c r="F127" s="5" t="str">
        <f>+WORLDCUP!BD61</f>
        <v>Paraguay</v>
      </c>
      <c r="G127" s="5" t="str">
        <f>+WORLDCUP!BD65</f>
        <v>Saudi Arabia</v>
      </c>
      <c r="H127" s="5" t="str">
        <f>+WORLDCUP!BD63</f>
        <v>Japan</v>
      </c>
      <c r="I127" s="5" t="str">
        <f>+WORLDCUP!BD69</f>
        <v>Ghana</v>
      </c>
      <c r="J127" s="5" t="str">
        <f>+WORLDCUP!BD67</f>
        <v>Jordan</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Saudi Arabia</v>
      </c>
      <c r="D128" s="5" t="str">
        <f>+WORLDCUP!BD64</f>
        <v>Egypt</v>
      </c>
      <c r="E128" s="5" t="str">
        <f>+WORLDCUP!BD59</f>
        <v>Bosnia and Herzegovina</v>
      </c>
      <c r="F128" s="5" t="str">
        <f>+WORLDCUP!BD60</f>
        <v>Scotland</v>
      </c>
      <c r="G128" s="5" t="str">
        <f>+WORLDCUP!BD67</f>
        <v>Jordan</v>
      </c>
      <c r="H128" s="5" t="str">
        <f>+WORLDCUP!BD63</f>
        <v>Japan</v>
      </c>
      <c r="I128" s="5" t="str">
        <f>+WORLDCUP!BD61</f>
        <v>Paraguay</v>
      </c>
      <c r="J128" s="5" t="str">
        <f>+WORLDCUP!BD68</f>
        <v>DR Congo</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Scotland</v>
      </c>
      <c r="D129" s="5" t="str">
        <f>+WORLDCUP!BD64</f>
        <v>Egypt</v>
      </c>
      <c r="E129" s="5" t="str">
        <f>+WORLDCUP!BD59</f>
        <v>Bosnia and Herzegovina</v>
      </c>
      <c r="F129" s="5" t="str">
        <f>+WORLDCUP!BD61</f>
        <v>Paraguay</v>
      </c>
      <c r="G129" s="5" t="str">
        <f>+WORLDCUP!BD65</f>
        <v>Saudi Arabia</v>
      </c>
      <c r="H129" s="5" t="str">
        <f>+WORLDCUP!BD63</f>
        <v>Japan</v>
      </c>
      <c r="I129" s="5" t="str">
        <f>+WORLDCUP!BD69</f>
        <v>Ghana</v>
      </c>
      <c r="J129" s="5" t="str">
        <f>+WORLDCUP!BD66</f>
        <v>Senegal</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Scotland</v>
      </c>
      <c r="D130" s="5" t="str">
        <f>+WORLDCUP!BD64</f>
        <v>Egypt</v>
      </c>
      <c r="E130" s="5" t="str">
        <f>+WORLDCUP!BD59</f>
        <v>Bosnia and Herzegovina</v>
      </c>
      <c r="F130" s="5" t="str">
        <f>+WORLDCUP!BD61</f>
        <v>Paraguay</v>
      </c>
      <c r="G130" s="5" t="str">
        <f>+WORLDCUP!BD65</f>
        <v>Saudi Arabia</v>
      </c>
      <c r="H130" s="5" t="str">
        <f>+WORLDCUP!BD63</f>
        <v>Japan</v>
      </c>
      <c r="I130" s="5" t="str">
        <f>+WORLDCUP!BD66</f>
        <v>Senegal</v>
      </c>
      <c r="J130" s="5" t="str">
        <f>+WORLDCUP!BD68</f>
        <v>DR Congo</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Saudi Arabia</v>
      </c>
      <c r="D131" s="5" t="str">
        <f>+WORLDCUP!BD64</f>
        <v>Egypt</v>
      </c>
      <c r="E131" s="5" t="str">
        <f>+WORLDCUP!BD59</f>
        <v>Bosnia and Herzegovina</v>
      </c>
      <c r="F131" s="5" t="str">
        <f>+WORLDCUP!BD60</f>
        <v>Scotland</v>
      </c>
      <c r="G131" s="5" t="str">
        <f>+WORLDCUP!BD67</f>
        <v>Jordan</v>
      </c>
      <c r="H131" s="5" t="str">
        <f>+WORLDCUP!BD63</f>
        <v>Japan</v>
      </c>
      <c r="I131" s="5" t="str">
        <f>+WORLDCUP!BD61</f>
        <v>Paraguay</v>
      </c>
      <c r="J131" s="5" t="str">
        <f>+WORLDCUP!BD66</f>
        <v>Senegal</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Curaçao</v>
      </c>
      <c r="D132" s="5" t="str">
        <f>+WORLDCUP!BD67</f>
        <v>Jordan</v>
      </c>
      <c r="E132" s="5" t="str">
        <f>+WORLDCUP!BD59</f>
        <v>Bosnia and Herzegovina</v>
      </c>
      <c r="F132" s="5" t="str">
        <f>+WORLDCUP!BD60</f>
        <v>Scotland</v>
      </c>
      <c r="G132" s="5" t="str">
        <f>+WORLDCUP!BD66</f>
        <v>Senegal</v>
      </c>
      <c r="H132" s="5" t="str">
        <f>+WORLDCUP!BD61</f>
        <v>Paraguay</v>
      </c>
      <c r="I132" s="5" t="str">
        <f>+WORLDCUP!BD69</f>
        <v>Ghana</v>
      </c>
      <c r="J132" s="5" t="str">
        <f>+WORLDCUP!BD68</f>
        <v>DR Congo</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Curaçao</v>
      </c>
      <c r="D133" s="5" t="str">
        <f>+WORLDCUP!BD67</f>
        <v>Jordan</v>
      </c>
      <c r="E133" s="5" t="str">
        <f>+WORLDCUP!BD59</f>
        <v>Bosnia and Herzegovina</v>
      </c>
      <c r="F133" s="5" t="str">
        <f>+WORLDCUP!BD60</f>
        <v>Scotland</v>
      </c>
      <c r="G133" s="5" t="str">
        <f>+WORLDCUP!BD65</f>
        <v>Saudi Arabia</v>
      </c>
      <c r="H133" s="5" t="str">
        <f>+WORLDCUP!BD61</f>
        <v>Paraguay</v>
      </c>
      <c r="I133" s="5" t="str">
        <f>+WORLDCUP!BD69</f>
        <v>Ghana</v>
      </c>
      <c r="J133" s="5" t="str">
        <f>+WORLDCUP!BD68</f>
        <v>DR Congo</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Curaçao</v>
      </c>
      <c r="D134" s="5" t="str">
        <f>+WORLDCUP!BD66</f>
        <v>Senegal</v>
      </c>
      <c r="E134" s="5" t="str">
        <f>+WORLDCUP!BD59</f>
        <v>Bosnia and Herzegovina</v>
      </c>
      <c r="F134" s="5" t="str">
        <f>+WORLDCUP!BD60</f>
        <v>Scotland</v>
      </c>
      <c r="G134" s="5" t="str">
        <f>+WORLDCUP!BD65</f>
        <v>Saudi Arabia</v>
      </c>
      <c r="H134" s="5" t="str">
        <f>+WORLDCUP!BD61</f>
        <v>Paraguay</v>
      </c>
      <c r="I134" s="5" t="str">
        <f>+WORLDCUP!BD69</f>
        <v>Ghana</v>
      </c>
      <c r="J134" s="5" t="str">
        <f>+WORLDCUP!BD68</f>
        <v>DR Congo</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Curaçao</v>
      </c>
      <c r="D135" s="5" t="str">
        <f>+WORLDCUP!BD67</f>
        <v>Jordan</v>
      </c>
      <c r="E135" s="5" t="str">
        <f>+WORLDCUP!BD59</f>
        <v>Bosnia and Herzegovina</v>
      </c>
      <c r="F135" s="5" t="str">
        <f>+WORLDCUP!BD60</f>
        <v>Scotland</v>
      </c>
      <c r="G135" s="5" t="str">
        <f>+WORLDCUP!BD65</f>
        <v>Saudi Arabia</v>
      </c>
      <c r="H135" s="5" t="str">
        <f>+WORLDCUP!BD61</f>
        <v>Paraguay</v>
      </c>
      <c r="I135" s="5" t="str">
        <f>+WORLDCUP!BD69</f>
        <v>Ghana</v>
      </c>
      <c r="J135" s="5" t="str">
        <f>+WORLDCUP!BD66</f>
        <v>Senegal</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Curaçao</v>
      </c>
      <c r="D136" s="5" t="str">
        <f>+WORLDCUP!BD67</f>
        <v>Jordan</v>
      </c>
      <c r="E136" s="5" t="str">
        <f>+WORLDCUP!BD59</f>
        <v>Bosnia and Herzegovina</v>
      </c>
      <c r="F136" s="5" t="str">
        <f>+WORLDCUP!BD60</f>
        <v>Scotland</v>
      </c>
      <c r="G136" s="5" t="str">
        <f>+WORLDCUP!BD65</f>
        <v>Saudi Arabia</v>
      </c>
      <c r="H136" s="5" t="str">
        <f>+WORLDCUP!BD61</f>
        <v>Paraguay</v>
      </c>
      <c r="I136" s="5" t="str">
        <f>+WORLDCUP!BD66</f>
        <v>Senegal</v>
      </c>
      <c r="J136" s="5" t="str">
        <f>+WORLDCUP!BD68</f>
        <v>DR Congo</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Curaçao</v>
      </c>
      <c r="D137" s="5" t="str">
        <f>+WORLDCUP!BD64</f>
        <v>Egypt</v>
      </c>
      <c r="E137" s="5" t="str">
        <f>+WORLDCUP!BD59</f>
        <v>Bosnia and Herzegovina</v>
      </c>
      <c r="F137" s="5" t="str">
        <f>+WORLDCUP!BD60</f>
        <v>Scotland</v>
      </c>
      <c r="G137" s="5" t="str">
        <f>+WORLDCUP!BD67</f>
        <v>Jordan</v>
      </c>
      <c r="H137" s="5" t="str">
        <f>+WORLDCUP!BD61</f>
        <v>Paraguay</v>
      </c>
      <c r="I137" s="5" t="str">
        <f>+WORLDCUP!BD69</f>
        <v>Ghana</v>
      </c>
      <c r="J137" s="5" t="str">
        <f>+WORLDCUP!BD68</f>
        <v>DR Congo</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Curaçao</v>
      </c>
      <c r="D138" s="5" t="str">
        <f>+WORLDCUP!BD64</f>
        <v>Egypt</v>
      </c>
      <c r="E138" s="5" t="str">
        <f>+WORLDCUP!BD59</f>
        <v>Bosnia and Herzegovina</v>
      </c>
      <c r="F138" s="5" t="str">
        <f>+WORLDCUP!BD60</f>
        <v>Scotland</v>
      </c>
      <c r="G138" s="5" t="str">
        <f>+WORLDCUP!BD66</f>
        <v>Senegal</v>
      </c>
      <c r="H138" s="5" t="str">
        <f>+WORLDCUP!BD61</f>
        <v>Paraguay</v>
      </c>
      <c r="I138" s="5" t="str">
        <f>+WORLDCUP!BD69</f>
        <v>Ghana</v>
      </c>
      <c r="J138" s="5" t="str">
        <f>+WORLDCUP!BD68</f>
        <v>DR Congo</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Curaçao</v>
      </c>
      <c r="D139" s="5" t="str">
        <f>+WORLDCUP!BD64</f>
        <v>Egypt</v>
      </c>
      <c r="E139" s="5" t="str">
        <f>+WORLDCUP!BD59</f>
        <v>Bosnia and Herzegovina</v>
      </c>
      <c r="F139" s="5" t="str">
        <f>+WORLDCUP!BD60</f>
        <v>Scotland</v>
      </c>
      <c r="G139" s="5" t="str">
        <f>+WORLDCUP!BD67</f>
        <v>Jordan</v>
      </c>
      <c r="H139" s="5" t="str">
        <f>+WORLDCUP!BD61</f>
        <v>Paraguay</v>
      </c>
      <c r="I139" s="5" t="str">
        <f>+WORLDCUP!BD69</f>
        <v>Ghana</v>
      </c>
      <c r="J139" s="5" t="str">
        <f>+WORLDCUP!BD66</f>
        <v>Senegal</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Curaçao</v>
      </c>
      <c r="D140" s="5" t="str">
        <f>+WORLDCUP!BD64</f>
        <v>Egypt</v>
      </c>
      <c r="E140" s="5" t="str">
        <f>+WORLDCUP!BD59</f>
        <v>Bosnia and Herzegovina</v>
      </c>
      <c r="F140" s="5" t="str">
        <f>+WORLDCUP!BD60</f>
        <v>Scotland</v>
      </c>
      <c r="G140" s="5" t="str">
        <f>+WORLDCUP!BD67</f>
        <v>Jordan</v>
      </c>
      <c r="H140" s="5" t="str">
        <f>+WORLDCUP!BD61</f>
        <v>Paraguay</v>
      </c>
      <c r="I140" s="5" t="str">
        <f>+WORLDCUP!BD66</f>
        <v>Senegal</v>
      </c>
      <c r="J140" s="5" t="str">
        <f>+WORLDCUP!BD68</f>
        <v>DR Congo</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Curaçao</v>
      </c>
      <c r="D141" s="5" t="str">
        <f>+WORLDCUP!BD64</f>
        <v>Egypt</v>
      </c>
      <c r="E141" s="5" t="str">
        <f>+WORLDCUP!BD59</f>
        <v>Bosnia and Herzegovina</v>
      </c>
      <c r="F141" s="5" t="str">
        <f>+WORLDCUP!BD60</f>
        <v>Scotland</v>
      </c>
      <c r="G141" s="5" t="str">
        <f>+WORLDCUP!BD65</f>
        <v>Saudi Arabia</v>
      </c>
      <c r="H141" s="5" t="str">
        <f>+WORLDCUP!BD61</f>
        <v>Paraguay</v>
      </c>
      <c r="I141" s="5" t="str">
        <f>+WORLDCUP!BD69</f>
        <v>Ghana</v>
      </c>
      <c r="J141" s="5" t="str">
        <f>+WORLDCUP!BD68</f>
        <v>DR Congo</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Saudi Arabia</v>
      </c>
      <c r="D142" s="5" t="str">
        <f>+WORLDCUP!BD64</f>
        <v>Egypt</v>
      </c>
      <c r="E142" s="5" t="str">
        <f>+WORLDCUP!BD59</f>
        <v>Bosnia and Herzegovina</v>
      </c>
      <c r="F142" s="5" t="str">
        <f>+WORLDCUP!BD60</f>
        <v>Scotland</v>
      </c>
      <c r="G142" s="5" t="str">
        <f>+WORLDCUP!BD67</f>
        <v>Jordan</v>
      </c>
      <c r="H142" s="5" t="str">
        <f>+WORLDCUP!BD61</f>
        <v>Paraguay</v>
      </c>
      <c r="I142" s="5" t="str">
        <f>+WORLDCUP!BD69</f>
        <v>Ghana</v>
      </c>
      <c r="J142" s="5" t="str">
        <f>+WORLDCUP!BD62</f>
        <v>Curaçao</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Saudi Arabia</v>
      </c>
      <c r="D143" s="5" t="str">
        <f>+WORLDCUP!BD64</f>
        <v>Egypt</v>
      </c>
      <c r="E143" s="5" t="str">
        <f>+WORLDCUP!BD59</f>
        <v>Bosnia and Herzegovina</v>
      </c>
      <c r="F143" s="5" t="str">
        <f>+WORLDCUP!BD60</f>
        <v>Scotland</v>
      </c>
      <c r="G143" s="5" t="str">
        <f>+WORLDCUP!BD67</f>
        <v>Jordan</v>
      </c>
      <c r="H143" s="5" t="str">
        <f>+WORLDCUP!BD61</f>
        <v>Paraguay</v>
      </c>
      <c r="I143" s="5" t="str">
        <f>+WORLDCUP!BD62</f>
        <v>Curaçao</v>
      </c>
      <c r="J143" s="5" t="str">
        <f>+WORLDCUP!BD68</f>
        <v>DR Congo</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Curaçao</v>
      </c>
      <c r="D144" s="5" t="str">
        <f>+WORLDCUP!BD64</f>
        <v>Egypt</v>
      </c>
      <c r="E144" s="5" t="str">
        <f>+WORLDCUP!BD59</f>
        <v>Bosnia and Herzegovina</v>
      </c>
      <c r="F144" s="5" t="str">
        <f>+WORLDCUP!BD60</f>
        <v>Scotland</v>
      </c>
      <c r="G144" s="5" t="str">
        <f>+WORLDCUP!BD65</f>
        <v>Saudi Arabia</v>
      </c>
      <c r="H144" s="5" t="str">
        <f>+WORLDCUP!BD61</f>
        <v>Paraguay</v>
      </c>
      <c r="I144" s="5" t="str">
        <f>+WORLDCUP!BD69</f>
        <v>Ghana</v>
      </c>
      <c r="J144" s="5" t="str">
        <f>+WORLDCUP!BD66</f>
        <v>Senegal</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Curaçao</v>
      </c>
      <c r="D145" s="5" t="str">
        <f>+WORLDCUP!BD64</f>
        <v>Egypt</v>
      </c>
      <c r="E145" s="5" t="str">
        <f>+WORLDCUP!BD59</f>
        <v>Bosnia and Herzegovina</v>
      </c>
      <c r="F145" s="5" t="str">
        <f>+WORLDCUP!BD60</f>
        <v>Scotland</v>
      </c>
      <c r="G145" s="5" t="str">
        <f>+WORLDCUP!BD65</f>
        <v>Saudi Arabia</v>
      </c>
      <c r="H145" s="5" t="str">
        <f>+WORLDCUP!BD61</f>
        <v>Paraguay</v>
      </c>
      <c r="I145" s="5" t="str">
        <f>+WORLDCUP!BD66</f>
        <v>Senegal</v>
      </c>
      <c r="J145" s="5" t="str">
        <f>+WORLDCUP!BD68</f>
        <v>DR Congo</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Saudi Arabia</v>
      </c>
      <c r="D146" s="5" t="str">
        <f>+WORLDCUP!BD64</f>
        <v>Egypt</v>
      </c>
      <c r="E146" s="5" t="str">
        <f>+WORLDCUP!BD59</f>
        <v>Bosnia and Herzegovina</v>
      </c>
      <c r="F146" s="5" t="str">
        <f>+WORLDCUP!BD60</f>
        <v>Scotland</v>
      </c>
      <c r="G146" s="5" t="str">
        <f>+WORLDCUP!BD67</f>
        <v>Jordan</v>
      </c>
      <c r="H146" s="5" t="str">
        <f>+WORLDCUP!BD61</f>
        <v>Paraguay</v>
      </c>
      <c r="I146" s="5" t="str">
        <f>+WORLDCUP!BD62</f>
        <v>Curaçao</v>
      </c>
      <c r="J146" s="5" t="str">
        <f>+WORLDCUP!BD66</f>
        <v>Senegal</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Scotland</v>
      </c>
      <c r="D147" s="5" t="str">
        <f>+WORLDCUP!BD67</f>
        <v>Jordan</v>
      </c>
      <c r="E147" s="5" t="str">
        <f>+WORLDCUP!BD59</f>
        <v>Bosnia and Herzegovina</v>
      </c>
      <c r="F147" s="5" t="str">
        <f>+WORLDCUP!BD61</f>
        <v>Paraguay</v>
      </c>
      <c r="G147" s="5" t="str">
        <f>+WORLDCUP!BD62</f>
        <v>Curaçao</v>
      </c>
      <c r="H147" s="5" t="str">
        <f>+WORLDCUP!BD63</f>
        <v>Japan</v>
      </c>
      <c r="I147" s="5" t="str">
        <f>+WORLDCUP!BD69</f>
        <v>Ghana</v>
      </c>
      <c r="J147" s="5" t="str">
        <f>+WORLDCUP!BD68</f>
        <v>DR Congo</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Scotland</v>
      </c>
      <c r="D148" s="5" t="str">
        <f>+WORLDCUP!BD62</f>
        <v>Curaçao</v>
      </c>
      <c r="E148" s="5" t="str">
        <f>+WORLDCUP!BD59</f>
        <v>Bosnia and Herzegovina</v>
      </c>
      <c r="F148" s="5" t="str">
        <f>+WORLDCUP!BD61</f>
        <v>Paraguay</v>
      </c>
      <c r="G148" s="5" t="str">
        <f>+WORLDCUP!BD66</f>
        <v>Senegal</v>
      </c>
      <c r="H148" s="5" t="str">
        <f>+WORLDCUP!BD63</f>
        <v>Japan</v>
      </c>
      <c r="I148" s="5" t="str">
        <f>+WORLDCUP!BD69</f>
        <v>Ghana</v>
      </c>
      <c r="J148" s="5" t="str">
        <f>+WORLDCUP!BD68</f>
        <v>DR Congo</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Scotland</v>
      </c>
      <c r="D149" s="5" t="str">
        <f>+WORLDCUP!BD67</f>
        <v>Jordan</v>
      </c>
      <c r="E149" s="5" t="str">
        <f>+WORLDCUP!BD59</f>
        <v>Bosnia and Herzegovina</v>
      </c>
      <c r="F149" s="5" t="str">
        <f>+WORLDCUP!BD61</f>
        <v>Paraguay</v>
      </c>
      <c r="G149" s="5" t="str">
        <f>+WORLDCUP!BD62</f>
        <v>Curaçao</v>
      </c>
      <c r="H149" s="5" t="str">
        <f>+WORLDCUP!BD63</f>
        <v>Japan</v>
      </c>
      <c r="I149" s="5" t="str">
        <f>+WORLDCUP!BD69</f>
        <v>Ghana</v>
      </c>
      <c r="J149" s="5" t="str">
        <f>+WORLDCUP!BD66</f>
        <v>Senegal</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Scotland</v>
      </c>
      <c r="D150" s="5" t="str">
        <f>+WORLDCUP!BD67</f>
        <v>Jordan</v>
      </c>
      <c r="E150" s="5" t="str">
        <f>+WORLDCUP!BD59</f>
        <v>Bosnia and Herzegovina</v>
      </c>
      <c r="F150" s="5" t="str">
        <f>+WORLDCUP!BD61</f>
        <v>Paraguay</v>
      </c>
      <c r="G150" s="5" t="str">
        <f>+WORLDCUP!BD62</f>
        <v>Curaçao</v>
      </c>
      <c r="H150" s="5" t="str">
        <f>+WORLDCUP!BD63</f>
        <v>Japan</v>
      </c>
      <c r="I150" s="5" t="str">
        <f>+WORLDCUP!BD66</f>
        <v>Senegal</v>
      </c>
      <c r="J150" s="5" t="str">
        <f>+WORLDCUP!BD68</f>
        <v>DR Congo</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Scotland</v>
      </c>
      <c r="D151" s="5" t="str">
        <f>+WORLDCUP!BD62</f>
        <v>Curaçao</v>
      </c>
      <c r="E151" s="5" t="str">
        <f>+WORLDCUP!BD59</f>
        <v>Bosnia and Herzegovina</v>
      </c>
      <c r="F151" s="5" t="str">
        <f>+WORLDCUP!BD61</f>
        <v>Paraguay</v>
      </c>
      <c r="G151" s="5" t="str">
        <f>+WORLDCUP!BD65</f>
        <v>Saudi Arabia</v>
      </c>
      <c r="H151" s="5" t="str">
        <f>+WORLDCUP!BD63</f>
        <v>Japan</v>
      </c>
      <c r="I151" s="5" t="str">
        <f>+WORLDCUP!BD69</f>
        <v>Ghana</v>
      </c>
      <c r="J151" s="5" t="str">
        <f>+WORLDCUP!BD68</f>
        <v>DR Congo</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Scotland</v>
      </c>
      <c r="D152" s="5" t="str">
        <f>+WORLDCUP!BD67</f>
        <v>Jordan</v>
      </c>
      <c r="E152" s="5" t="str">
        <f>+WORLDCUP!BD59</f>
        <v>Bosnia and Herzegovina</v>
      </c>
      <c r="F152" s="5" t="str">
        <f>+WORLDCUP!BD61</f>
        <v>Paraguay</v>
      </c>
      <c r="G152" s="5" t="str">
        <f>+WORLDCUP!BD65</f>
        <v>Saudi Arabia</v>
      </c>
      <c r="H152" s="5" t="str">
        <f>+WORLDCUP!BD63</f>
        <v>Japan</v>
      </c>
      <c r="I152" s="5" t="str">
        <f>+WORLDCUP!BD69</f>
        <v>Ghana</v>
      </c>
      <c r="J152" s="5" t="str">
        <f>+WORLDCUP!BD62</f>
        <v>Curaçao</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Scotland</v>
      </c>
      <c r="D153" s="5" t="str">
        <f>+WORLDCUP!BD67</f>
        <v>Jordan</v>
      </c>
      <c r="E153" s="5" t="str">
        <f>+WORLDCUP!BD59</f>
        <v>Bosnia and Herzegovina</v>
      </c>
      <c r="F153" s="5" t="str">
        <f>+WORLDCUP!BD61</f>
        <v>Paraguay</v>
      </c>
      <c r="G153" s="5" t="str">
        <f>+WORLDCUP!BD65</f>
        <v>Saudi Arabia</v>
      </c>
      <c r="H153" s="5" t="str">
        <f>+WORLDCUP!BD63</f>
        <v>Japan</v>
      </c>
      <c r="I153" s="5" t="str">
        <f>+WORLDCUP!BD62</f>
        <v>Curaçao</v>
      </c>
      <c r="J153" s="5" t="str">
        <f>+WORLDCUP!BD68</f>
        <v>DR Congo</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Scotland</v>
      </c>
      <c r="D154" s="5" t="str">
        <f>+WORLDCUP!BD62</f>
        <v>Curaçao</v>
      </c>
      <c r="E154" s="5" t="str">
        <f>+WORLDCUP!BD59</f>
        <v>Bosnia and Herzegovina</v>
      </c>
      <c r="F154" s="5" t="str">
        <f>+WORLDCUP!BD61</f>
        <v>Paraguay</v>
      </c>
      <c r="G154" s="5" t="str">
        <f>+WORLDCUP!BD65</f>
        <v>Saudi Arabia</v>
      </c>
      <c r="H154" s="5" t="str">
        <f>+WORLDCUP!BD63</f>
        <v>Japan</v>
      </c>
      <c r="I154" s="5" t="str">
        <f>+WORLDCUP!BD69</f>
        <v>Ghana</v>
      </c>
      <c r="J154" s="5" t="str">
        <f>+WORLDCUP!BD66</f>
        <v>Senegal</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Scotland</v>
      </c>
      <c r="D155" s="5" t="str">
        <f>+WORLDCUP!BD62</f>
        <v>Curaçao</v>
      </c>
      <c r="E155" s="5" t="str">
        <f>+WORLDCUP!BD59</f>
        <v>Bosnia and Herzegovina</v>
      </c>
      <c r="F155" s="5" t="str">
        <f>+WORLDCUP!BD61</f>
        <v>Paraguay</v>
      </c>
      <c r="G155" s="5" t="str">
        <f>+WORLDCUP!BD65</f>
        <v>Saudi Arabia</v>
      </c>
      <c r="H155" s="5" t="str">
        <f>+WORLDCUP!BD63</f>
        <v>Japan</v>
      </c>
      <c r="I155" s="5" t="str">
        <f>+WORLDCUP!BD66</f>
        <v>Senegal</v>
      </c>
      <c r="J155" s="5" t="str">
        <f>+WORLDCUP!BD68</f>
        <v>DR Congo</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Scotland</v>
      </c>
      <c r="D156" s="5" t="str">
        <f>+WORLDCUP!BD67</f>
        <v>Jordan</v>
      </c>
      <c r="E156" s="5" t="str">
        <f>+WORLDCUP!BD59</f>
        <v>Bosnia and Herzegovina</v>
      </c>
      <c r="F156" s="5" t="str">
        <f>+WORLDCUP!BD61</f>
        <v>Paraguay</v>
      </c>
      <c r="G156" s="5" t="str">
        <f>+WORLDCUP!BD65</f>
        <v>Saudi Arabia</v>
      </c>
      <c r="H156" s="5" t="str">
        <f>+WORLDCUP!BD63</f>
        <v>Japan</v>
      </c>
      <c r="I156" s="5" t="str">
        <f>+WORLDCUP!BD62</f>
        <v>Curaçao</v>
      </c>
      <c r="J156" s="5" t="str">
        <f>+WORLDCUP!BD66</f>
        <v>Senegal</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Scotland</v>
      </c>
      <c r="D157" s="5" t="str">
        <f>+WORLDCUP!BD64</f>
        <v>Egypt</v>
      </c>
      <c r="E157" s="5" t="str">
        <f>+WORLDCUP!BD59</f>
        <v>Bosnia and Herzegovina</v>
      </c>
      <c r="F157" s="5" t="str">
        <f>+WORLDCUP!BD61</f>
        <v>Paraguay</v>
      </c>
      <c r="G157" s="5" t="str">
        <f>+WORLDCUP!BD62</f>
        <v>Curaçao</v>
      </c>
      <c r="H157" s="5" t="str">
        <f>+WORLDCUP!BD63</f>
        <v>Japan</v>
      </c>
      <c r="I157" s="5" t="str">
        <f>+WORLDCUP!BD69</f>
        <v>Ghana</v>
      </c>
      <c r="J157" s="5" t="str">
        <f>+WORLDCUP!BD68</f>
        <v>DR Congo</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Scotland</v>
      </c>
      <c r="D158" s="5" t="str">
        <f>+WORLDCUP!BD64</f>
        <v>Egypt</v>
      </c>
      <c r="E158" s="5" t="str">
        <f>+WORLDCUP!BD59</f>
        <v>Bosnia and Herzegovina</v>
      </c>
      <c r="F158" s="5" t="str">
        <f>+WORLDCUP!BD61</f>
        <v>Paraguay</v>
      </c>
      <c r="G158" s="5" t="str">
        <f>+WORLDCUP!BD67</f>
        <v>Jordan</v>
      </c>
      <c r="H158" s="5" t="str">
        <f>+WORLDCUP!BD63</f>
        <v>Japan</v>
      </c>
      <c r="I158" s="5" t="str">
        <f>+WORLDCUP!BD69</f>
        <v>Ghana</v>
      </c>
      <c r="J158" s="5" t="str">
        <f>+WORLDCUP!BD62</f>
        <v>Curaçao</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Scotland</v>
      </c>
      <c r="D159" s="5" t="str">
        <f>+WORLDCUP!BD64</f>
        <v>Egypt</v>
      </c>
      <c r="E159" s="5" t="str">
        <f>+WORLDCUP!BD59</f>
        <v>Bosnia and Herzegovina</v>
      </c>
      <c r="F159" s="5" t="str">
        <f>+WORLDCUP!BD61</f>
        <v>Paraguay</v>
      </c>
      <c r="G159" s="5" t="str">
        <f>+WORLDCUP!BD67</f>
        <v>Jordan</v>
      </c>
      <c r="H159" s="5" t="str">
        <f>+WORLDCUP!BD63</f>
        <v>Japan</v>
      </c>
      <c r="I159" s="5" t="str">
        <f>+WORLDCUP!BD62</f>
        <v>Curaçao</v>
      </c>
      <c r="J159" s="5" t="str">
        <f>+WORLDCUP!BD68</f>
        <v>DR Congo</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Scotland</v>
      </c>
      <c r="D160" s="5" t="str">
        <f>+WORLDCUP!BD64</f>
        <v>Egypt</v>
      </c>
      <c r="E160" s="5" t="str">
        <f>+WORLDCUP!BD59</f>
        <v>Bosnia and Herzegovina</v>
      </c>
      <c r="F160" s="5" t="str">
        <f>+WORLDCUP!BD61</f>
        <v>Paraguay</v>
      </c>
      <c r="G160" s="5" t="str">
        <f>+WORLDCUP!BD62</f>
        <v>Curaçao</v>
      </c>
      <c r="H160" s="5" t="str">
        <f>+WORLDCUP!BD63</f>
        <v>Japan</v>
      </c>
      <c r="I160" s="5" t="str">
        <f>+WORLDCUP!BD69</f>
        <v>Ghana</v>
      </c>
      <c r="J160" s="5" t="str">
        <f>+WORLDCUP!BD66</f>
        <v>Senegal</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Scotland</v>
      </c>
      <c r="D161" s="5" t="str">
        <f>+WORLDCUP!BD64</f>
        <v>Egypt</v>
      </c>
      <c r="E161" s="5" t="str">
        <f>+WORLDCUP!BD59</f>
        <v>Bosnia and Herzegovina</v>
      </c>
      <c r="F161" s="5" t="str">
        <f>+WORLDCUP!BD61</f>
        <v>Paraguay</v>
      </c>
      <c r="G161" s="5" t="str">
        <f>+WORLDCUP!BD62</f>
        <v>Curaçao</v>
      </c>
      <c r="H161" s="5" t="str">
        <f>+WORLDCUP!BD63</f>
        <v>Japan</v>
      </c>
      <c r="I161" s="5" t="str">
        <f>+WORLDCUP!BD66</f>
        <v>Senegal</v>
      </c>
      <c r="J161" s="5" t="str">
        <f>+WORLDCUP!BD68</f>
        <v>DR Congo</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Scotland</v>
      </c>
      <c r="D162" s="5" t="str">
        <f>+WORLDCUP!BD64</f>
        <v>Egypt</v>
      </c>
      <c r="E162" s="5" t="str">
        <f>+WORLDCUP!BD59</f>
        <v>Bosnia and Herzegovina</v>
      </c>
      <c r="F162" s="5" t="str">
        <f>+WORLDCUP!BD61</f>
        <v>Paraguay</v>
      </c>
      <c r="G162" s="5" t="str">
        <f>+WORLDCUP!BD67</f>
        <v>Jordan</v>
      </c>
      <c r="H162" s="5" t="str">
        <f>+WORLDCUP!BD63</f>
        <v>Japan</v>
      </c>
      <c r="I162" s="5" t="str">
        <f>+WORLDCUP!BD62</f>
        <v>Curaçao</v>
      </c>
      <c r="J162" s="5" t="str">
        <f>+WORLDCUP!BD66</f>
        <v>Senegal</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Scotland</v>
      </c>
      <c r="D163" s="5" t="str">
        <f>+WORLDCUP!BD64</f>
        <v>Egypt</v>
      </c>
      <c r="E163" s="5" t="str">
        <f>+WORLDCUP!BD59</f>
        <v>Bosnia and Herzegovina</v>
      </c>
      <c r="F163" s="5" t="str">
        <f>+WORLDCUP!BD61</f>
        <v>Paraguay</v>
      </c>
      <c r="G163" s="5" t="str">
        <f>+WORLDCUP!BD65</f>
        <v>Saudi Arabia</v>
      </c>
      <c r="H163" s="5" t="str">
        <f>+WORLDCUP!BD63</f>
        <v>Japan</v>
      </c>
      <c r="I163" s="5" t="str">
        <f>+WORLDCUP!BD69</f>
        <v>Ghana</v>
      </c>
      <c r="J163" s="5" t="str">
        <f>+WORLDCUP!BD62</f>
        <v>Curaçao</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Scotland</v>
      </c>
      <c r="D164" s="5" t="str">
        <f>+WORLDCUP!BD64</f>
        <v>Egypt</v>
      </c>
      <c r="E164" s="5" t="str">
        <f>+WORLDCUP!BD59</f>
        <v>Bosnia and Herzegovina</v>
      </c>
      <c r="F164" s="5" t="str">
        <f>+WORLDCUP!BD61</f>
        <v>Paraguay</v>
      </c>
      <c r="G164" s="5" t="str">
        <f>+WORLDCUP!BD65</f>
        <v>Saudi Arabia</v>
      </c>
      <c r="H164" s="5" t="str">
        <f>+WORLDCUP!BD63</f>
        <v>Japan</v>
      </c>
      <c r="I164" s="5" t="str">
        <f>+WORLDCUP!BD62</f>
        <v>Curaçao</v>
      </c>
      <c r="J164" s="5" t="str">
        <f>+WORLDCUP!BD68</f>
        <v>DR Congo</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Saudi Arabia</v>
      </c>
      <c r="D165" s="5" t="str">
        <f>+WORLDCUP!BD64</f>
        <v>Egypt</v>
      </c>
      <c r="E165" s="5" t="str">
        <f>+WORLDCUP!BD59</f>
        <v>Bosnia and Herzegovina</v>
      </c>
      <c r="F165" s="5" t="str">
        <f>+WORLDCUP!BD60</f>
        <v>Scotland</v>
      </c>
      <c r="G165" s="5" t="str">
        <f>+WORLDCUP!BD67</f>
        <v>Jordan</v>
      </c>
      <c r="H165" s="5" t="str">
        <f>+WORLDCUP!BD63</f>
        <v>Japan</v>
      </c>
      <c r="I165" s="5" t="str">
        <f>+WORLDCUP!BD61</f>
        <v>Paraguay</v>
      </c>
      <c r="J165" s="5" t="str">
        <f>+WORLDCUP!BD62</f>
        <v>Curaçao</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Scotland</v>
      </c>
      <c r="D166" s="5" t="str">
        <f>+WORLDCUP!BD64</f>
        <v>Egypt</v>
      </c>
      <c r="E166" s="5" t="str">
        <f>+WORLDCUP!BD59</f>
        <v>Bosnia and Herzegovina</v>
      </c>
      <c r="F166" s="5" t="str">
        <f>+WORLDCUP!BD61</f>
        <v>Paraguay</v>
      </c>
      <c r="G166" s="5" t="str">
        <f>+WORLDCUP!BD65</f>
        <v>Saudi Arabia</v>
      </c>
      <c r="H166" s="5" t="str">
        <f>+WORLDCUP!BD63</f>
        <v>Japan</v>
      </c>
      <c r="I166" s="5" t="str">
        <f>+WORLDCUP!BD62</f>
        <v>Curaçao</v>
      </c>
      <c r="J166" s="5" t="str">
        <f>+WORLDCUP!BD66</f>
        <v>Senegal</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Saudi Arabia</v>
      </c>
      <c r="D167" s="5" t="str">
        <f>+WORLDCUP!BD67</f>
        <v>Jordan</v>
      </c>
      <c r="E167" s="5" t="str">
        <f>+WORLDCUP!BD66</f>
        <v>Senegal</v>
      </c>
      <c r="F167" s="5" t="str">
        <f>+WORLDCUP!BD63</f>
        <v>Japan</v>
      </c>
      <c r="G167" s="5" t="str">
        <f>+WORLDCUP!BD58</f>
        <v>Mexico</v>
      </c>
      <c r="H167" s="5" t="str">
        <f>+WORLDCUP!BD64</f>
        <v>Egypt</v>
      </c>
      <c r="I167" s="5" t="str">
        <f>+WORLDCUP!BD69</f>
        <v>Ghana</v>
      </c>
      <c r="J167" s="5" t="str">
        <f>+WORLDCUP!BD68</f>
        <v>DR Congo</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Curaçao</v>
      </c>
      <c r="D168" s="5" t="str">
        <f>+WORLDCUP!BD67</f>
        <v>Jordan</v>
      </c>
      <c r="E168" s="5" t="str">
        <f>+WORLDCUP!BD66</f>
        <v>Senegal</v>
      </c>
      <c r="F168" s="5" t="str">
        <f>+WORLDCUP!BD58</f>
        <v>Mexico</v>
      </c>
      <c r="G168" s="5" t="str">
        <f>+WORLDCUP!BD65</f>
        <v>Saudi Arabia</v>
      </c>
      <c r="H168" s="5" t="str">
        <f>+WORLDCUP!BD64</f>
        <v>Egypt</v>
      </c>
      <c r="I168" s="5" t="str">
        <f>+WORLDCUP!BD69</f>
        <v>Ghana</v>
      </c>
      <c r="J168" s="5" t="str">
        <f>+WORLDCUP!BD68</f>
        <v>DR Congo</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Curaçao</v>
      </c>
      <c r="D169" s="5" t="str">
        <f>+WORLDCUP!BD67</f>
        <v>Jordan</v>
      </c>
      <c r="E169" s="5" t="str">
        <f>+WORLDCUP!BD66</f>
        <v>Senegal</v>
      </c>
      <c r="F169" s="5" t="str">
        <f>+WORLDCUP!BD63</f>
        <v>Japan</v>
      </c>
      <c r="G169" s="5" t="str">
        <f>+WORLDCUP!BD58</f>
        <v>Mexico</v>
      </c>
      <c r="H169" s="5" t="str">
        <f>+WORLDCUP!BD65</f>
        <v>Saudi Arabia</v>
      </c>
      <c r="I169" s="5" t="str">
        <f>+WORLDCUP!BD69</f>
        <v>Ghana</v>
      </c>
      <c r="J169" s="5" t="str">
        <f>+WORLDCUP!BD68</f>
        <v>DR Congo</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Curaçao</v>
      </c>
      <c r="D170" s="5" t="str">
        <f>+WORLDCUP!BD67</f>
        <v>Jordan</v>
      </c>
      <c r="E170" s="5" t="str">
        <f>+WORLDCUP!BD66</f>
        <v>Senegal</v>
      </c>
      <c r="F170" s="5" t="str">
        <f>+WORLDCUP!BD63</f>
        <v>Japan</v>
      </c>
      <c r="G170" s="5" t="str">
        <f>+WORLDCUP!BD58</f>
        <v>Mexico</v>
      </c>
      <c r="H170" s="5" t="str">
        <f>+WORLDCUP!BD64</f>
        <v>Egypt</v>
      </c>
      <c r="I170" s="5" t="str">
        <f>+WORLDCUP!BD69</f>
        <v>Ghana</v>
      </c>
      <c r="J170" s="5" t="str">
        <f>+WORLDCUP!BD68</f>
        <v>DR Congo</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Curaçao</v>
      </c>
      <c r="D171" s="5" t="str">
        <f>+WORLDCUP!BD64</f>
        <v>Egypt</v>
      </c>
      <c r="E171" s="5" t="str">
        <f>+WORLDCUP!BD67</f>
        <v>Jordan</v>
      </c>
      <c r="F171" s="5" t="str">
        <f>+WORLDCUP!BD63</f>
        <v>Japan</v>
      </c>
      <c r="G171" s="5" t="str">
        <f>+WORLDCUP!BD58</f>
        <v>Mexico</v>
      </c>
      <c r="H171" s="5" t="str">
        <f>+WORLDCUP!BD65</f>
        <v>Saudi Arabia</v>
      </c>
      <c r="I171" s="5" t="str">
        <f>+WORLDCUP!BD69</f>
        <v>Ghana</v>
      </c>
      <c r="J171" s="5" t="str">
        <f>+WORLDCUP!BD68</f>
        <v>DR Congo</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Curaçao</v>
      </c>
      <c r="D172" s="5" t="str">
        <f>+WORLDCUP!BD64</f>
        <v>Egypt</v>
      </c>
      <c r="E172" s="5" t="str">
        <f>+WORLDCUP!BD66</f>
        <v>Senegal</v>
      </c>
      <c r="F172" s="5" t="str">
        <f>+WORLDCUP!BD63</f>
        <v>Japan</v>
      </c>
      <c r="G172" s="5" t="str">
        <f>+WORLDCUP!BD58</f>
        <v>Mexico</v>
      </c>
      <c r="H172" s="5" t="str">
        <f>+WORLDCUP!BD65</f>
        <v>Saudi Arabia</v>
      </c>
      <c r="I172" s="5" t="str">
        <f>+WORLDCUP!BD69</f>
        <v>Ghana</v>
      </c>
      <c r="J172" s="5" t="str">
        <f>+WORLDCUP!BD68</f>
        <v>DR Congo</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Curaçao</v>
      </c>
      <c r="D173" s="5" t="str">
        <f>+WORLDCUP!BD64</f>
        <v>Egypt</v>
      </c>
      <c r="E173" s="5" t="str">
        <f>+WORLDCUP!BD67</f>
        <v>Jordan</v>
      </c>
      <c r="F173" s="5" t="str">
        <f>+WORLDCUP!BD63</f>
        <v>Japan</v>
      </c>
      <c r="G173" s="5" t="str">
        <f>+WORLDCUP!BD58</f>
        <v>Mexico</v>
      </c>
      <c r="H173" s="5" t="str">
        <f>+WORLDCUP!BD65</f>
        <v>Saudi Arabia</v>
      </c>
      <c r="I173" s="5" t="str">
        <f>+WORLDCUP!BD69</f>
        <v>Ghana</v>
      </c>
      <c r="J173" s="5" t="str">
        <f>+WORLDCUP!BD66</f>
        <v>Senegal</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Curaçao</v>
      </c>
      <c r="D174" s="5" t="str">
        <f>+WORLDCUP!BD64</f>
        <v>Egypt</v>
      </c>
      <c r="E174" s="5" t="str">
        <f>+WORLDCUP!BD67</f>
        <v>Jordan</v>
      </c>
      <c r="F174" s="5" t="str">
        <f>+WORLDCUP!BD63</f>
        <v>Japan</v>
      </c>
      <c r="G174" s="5" t="str">
        <f>+WORLDCUP!BD58</f>
        <v>Mexico</v>
      </c>
      <c r="H174" s="5" t="str">
        <f>+WORLDCUP!BD65</f>
        <v>Saudi Arabia</v>
      </c>
      <c r="I174" s="5" t="str">
        <f>+WORLDCUP!BD66</f>
        <v>Senegal</v>
      </c>
      <c r="J174" s="5" t="str">
        <f>+WORLDCUP!BD68</f>
        <v>DR Congo</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Saudi Arabia</v>
      </c>
      <c r="D175" s="5" t="str">
        <f>+WORLDCUP!BD67</f>
        <v>Jordan</v>
      </c>
      <c r="E175" s="5" t="str">
        <f>+WORLDCUP!BD66</f>
        <v>Senegal</v>
      </c>
      <c r="F175" s="5" t="str">
        <f>+WORLDCUP!BD61</f>
        <v>Paraguay</v>
      </c>
      <c r="G175" s="5" t="str">
        <f>+WORLDCUP!BD58</f>
        <v>Mexico</v>
      </c>
      <c r="H175" s="5" t="str">
        <f>+WORLDCUP!BD64</f>
        <v>Egypt</v>
      </c>
      <c r="I175" s="5" t="str">
        <f>+WORLDCUP!BD69</f>
        <v>Ghana</v>
      </c>
      <c r="J175" s="5" t="str">
        <f>+WORLDCUP!BD68</f>
        <v>DR Congo</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Saudi Arabia</v>
      </c>
      <c r="D176" s="5" t="str">
        <f>+WORLDCUP!BD67</f>
        <v>Jordan</v>
      </c>
      <c r="E176" s="5" t="str">
        <f>+WORLDCUP!BD66</f>
        <v>Senegal</v>
      </c>
      <c r="F176" s="5" t="str">
        <f>+WORLDCUP!BD61</f>
        <v>Paraguay</v>
      </c>
      <c r="G176" s="5" t="str">
        <f>+WORLDCUP!BD58</f>
        <v>Mexico</v>
      </c>
      <c r="H176" s="5" t="str">
        <f>+WORLDCUP!BD63</f>
        <v>Japan</v>
      </c>
      <c r="I176" s="5" t="str">
        <f>+WORLDCUP!BD69</f>
        <v>Ghana</v>
      </c>
      <c r="J176" s="5" t="str">
        <f>+WORLDCUP!BD68</f>
        <v>DR Congo</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Senegal</v>
      </c>
      <c r="D177" s="5" t="str">
        <f>+WORLDCUP!BD64</f>
        <v>Egypt</v>
      </c>
      <c r="E177" s="5" t="str">
        <f>+WORLDCUP!BD67</f>
        <v>Jordan</v>
      </c>
      <c r="F177" s="5" t="str">
        <f>+WORLDCUP!BD61</f>
        <v>Paraguay</v>
      </c>
      <c r="G177" s="5" t="str">
        <f>+WORLDCUP!BD58</f>
        <v>Mexico</v>
      </c>
      <c r="H177" s="5" t="str">
        <f>+WORLDCUP!BD63</f>
        <v>Japan</v>
      </c>
      <c r="I177" s="5" t="str">
        <f>+WORLDCUP!BD69</f>
        <v>Ghana</v>
      </c>
      <c r="J177" s="5" t="str">
        <f>+WORLDCUP!BD68</f>
        <v>DR Congo</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Saudi Arabia</v>
      </c>
      <c r="D178" s="5" t="str">
        <f>+WORLDCUP!BD64</f>
        <v>Egypt</v>
      </c>
      <c r="E178" s="5" t="str">
        <f>+WORLDCUP!BD67</f>
        <v>Jordan</v>
      </c>
      <c r="F178" s="5" t="str">
        <f>+WORLDCUP!BD61</f>
        <v>Paraguay</v>
      </c>
      <c r="G178" s="5" t="str">
        <f>+WORLDCUP!BD58</f>
        <v>Mexico</v>
      </c>
      <c r="H178" s="5" t="str">
        <f>+WORLDCUP!BD63</f>
        <v>Japan</v>
      </c>
      <c r="I178" s="5" t="str">
        <f>+WORLDCUP!BD69</f>
        <v>Ghana</v>
      </c>
      <c r="J178" s="5" t="str">
        <f>+WORLDCUP!BD68</f>
        <v>DR Congo</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Saudi Arabia</v>
      </c>
      <c r="D179" s="5" t="str">
        <f>+WORLDCUP!BD64</f>
        <v>Egypt</v>
      </c>
      <c r="E179" s="5" t="str">
        <f>+WORLDCUP!BD66</f>
        <v>Senegal</v>
      </c>
      <c r="F179" s="5" t="str">
        <f>+WORLDCUP!BD61</f>
        <v>Paraguay</v>
      </c>
      <c r="G179" s="5" t="str">
        <f>+WORLDCUP!BD58</f>
        <v>Mexico</v>
      </c>
      <c r="H179" s="5" t="str">
        <f>+WORLDCUP!BD63</f>
        <v>Japan</v>
      </c>
      <c r="I179" s="5" t="str">
        <f>+WORLDCUP!BD69</f>
        <v>Ghana</v>
      </c>
      <c r="J179" s="5" t="str">
        <f>+WORLDCUP!BD68</f>
        <v>DR Congo</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Saudi Arabia</v>
      </c>
      <c r="D180" s="5" t="str">
        <f>+WORLDCUP!BD64</f>
        <v>Egypt</v>
      </c>
      <c r="E180" s="5" t="str">
        <f>+WORLDCUP!BD67</f>
        <v>Jordan</v>
      </c>
      <c r="F180" s="5" t="str">
        <f>+WORLDCUP!BD61</f>
        <v>Paraguay</v>
      </c>
      <c r="G180" s="5" t="str">
        <f>+WORLDCUP!BD58</f>
        <v>Mexico</v>
      </c>
      <c r="H180" s="5" t="str">
        <f>+WORLDCUP!BD63</f>
        <v>Japan</v>
      </c>
      <c r="I180" s="5" t="str">
        <f>+WORLDCUP!BD69</f>
        <v>Ghana</v>
      </c>
      <c r="J180" s="5" t="str">
        <f>+WORLDCUP!BD66</f>
        <v>Senegal</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Saudi Arabia</v>
      </c>
      <c r="D181" s="5" t="str">
        <f>+WORLDCUP!BD64</f>
        <v>Egypt</v>
      </c>
      <c r="E181" s="5" t="str">
        <f>+WORLDCUP!BD67</f>
        <v>Jordan</v>
      </c>
      <c r="F181" s="5" t="str">
        <f>+WORLDCUP!BD61</f>
        <v>Paraguay</v>
      </c>
      <c r="G181" s="5" t="str">
        <f>+WORLDCUP!BD58</f>
        <v>Mexico</v>
      </c>
      <c r="H181" s="5" t="str">
        <f>+WORLDCUP!BD63</f>
        <v>Japan</v>
      </c>
      <c r="I181" s="5" t="str">
        <f>+WORLDCUP!BD66</f>
        <v>Senegal</v>
      </c>
      <c r="J181" s="5" t="str">
        <f>+WORLDCUP!BD68</f>
        <v>DR Congo</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Curaçao</v>
      </c>
      <c r="D182" s="5" t="str">
        <f>+WORLDCUP!BD67</f>
        <v>Jordan</v>
      </c>
      <c r="E182" s="5" t="str">
        <f>+WORLDCUP!BD66</f>
        <v>Senegal</v>
      </c>
      <c r="F182" s="5" t="str">
        <f>+WORLDCUP!BD61</f>
        <v>Paraguay</v>
      </c>
      <c r="G182" s="5" t="str">
        <f>+WORLDCUP!BD58</f>
        <v>Mexico</v>
      </c>
      <c r="H182" s="5" t="str">
        <f>+WORLDCUP!BD65</f>
        <v>Saudi Arabia</v>
      </c>
      <c r="I182" s="5" t="str">
        <f>+WORLDCUP!BD69</f>
        <v>Ghana</v>
      </c>
      <c r="J182" s="5" t="str">
        <f>+WORLDCUP!BD68</f>
        <v>DR Congo</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Curaçao</v>
      </c>
      <c r="D183" s="5" t="str">
        <f>+WORLDCUP!BD67</f>
        <v>Jordan</v>
      </c>
      <c r="E183" s="5" t="str">
        <f>+WORLDCUP!BD66</f>
        <v>Senegal</v>
      </c>
      <c r="F183" s="5" t="str">
        <f>+WORLDCUP!BD61</f>
        <v>Paraguay</v>
      </c>
      <c r="G183" s="5" t="str">
        <f>+WORLDCUP!BD58</f>
        <v>Mexico</v>
      </c>
      <c r="H183" s="5" t="str">
        <f>+WORLDCUP!BD64</f>
        <v>Egypt</v>
      </c>
      <c r="I183" s="5" t="str">
        <f>+WORLDCUP!BD69</f>
        <v>Ghana</v>
      </c>
      <c r="J183" s="5" t="str">
        <f>+WORLDCUP!BD68</f>
        <v>DR Congo</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Curaçao</v>
      </c>
      <c r="D184" s="5" t="str">
        <f>+WORLDCUP!BD64</f>
        <v>Egypt</v>
      </c>
      <c r="E184" s="5" t="str">
        <f>+WORLDCUP!BD67</f>
        <v>Jordan</v>
      </c>
      <c r="F184" s="5" t="str">
        <f>+WORLDCUP!BD61</f>
        <v>Paraguay</v>
      </c>
      <c r="G184" s="5" t="str">
        <f>+WORLDCUP!BD58</f>
        <v>Mexico</v>
      </c>
      <c r="H184" s="5" t="str">
        <f>+WORLDCUP!BD65</f>
        <v>Saudi Arabia</v>
      </c>
      <c r="I184" s="5" t="str">
        <f>+WORLDCUP!BD69</f>
        <v>Ghana</v>
      </c>
      <c r="J184" s="5" t="str">
        <f>+WORLDCUP!BD68</f>
        <v>DR Congo</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Curaçao</v>
      </c>
      <c r="D185" s="5" t="str">
        <f>+WORLDCUP!BD64</f>
        <v>Egypt</v>
      </c>
      <c r="E185" s="5" t="str">
        <f>+WORLDCUP!BD66</f>
        <v>Senegal</v>
      </c>
      <c r="F185" s="5" t="str">
        <f>+WORLDCUP!BD61</f>
        <v>Paraguay</v>
      </c>
      <c r="G185" s="5" t="str">
        <f>+WORLDCUP!BD58</f>
        <v>Mexico</v>
      </c>
      <c r="H185" s="5" t="str">
        <f>+WORLDCUP!BD65</f>
        <v>Saudi Arabia</v>
      </c>
      <c r="I185" s="5" t="str">
        <f>+WORLDCUP!BD69</f>
        <v>Ghana</v>
      </c>
      <c r="J185" s="5" t="str">
        <f>+WORLDCUP!BD68</f>
        <v>DR Congo</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Curaçao</v>
      </c>
      <c r="D186" s="5" t="str">
        <f>+WORLDCUP!BD64</f>
        <v>Egypt</v>
      </c>
      <c r="E186" s="5" t="str">
        <f>+WORLDCUP!BD67</f>
        <v>Jordan</v>
      </c>
      <c r="F186" s="5" t="str">
        <f>+WORLDCUP!BD61</f>
        <v>Paraguay</v>
      </c>
      <c r="G186" s="5" t="str">
        <f>+WORLDCUP!BD58</f>
        <v>Mexico</v>
      </c>
      <c r="H186" s="5" t="str">
        <f>+WORLDCUP!BD65</f>
        <v>Saudi Arabia</v>
      </c>
      <c r="I186" s="5" t="str">
        <f>+WORLDCUP!BD69</f>
        <v>Ghana</v>
      </c>
      <c r="J186" s="5" t="str">
        <f>+WORLDCUP!BD66</f>
        <v>Senegal</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Curaçao</v>
      </c>
      <c r="D187" s="5" t="str">
        <f>+WORLDCUP!BD64</f>
        <v>Egypt</v>
      </c>
      <c r="E187" s="5" t="str">
        <f>+WORLDCUP!BD67</f>
        <v>Jordan</v>
      </c>
      <c r="F187" s="5" t="str">
        <f>+WORLDCUP!BD61</f>
        <v>Paraguay</v>
      </c>
      <c r="G187" s="5" t="str">
        <f>+WORLDCUP!BD58</f>
        <v>Mexico</v>
      </c>
      <c r="H187" s="5" t="str">
        <f>+WORLDCUP!BD65</f>
        <v>Saudi Arabia</v>
      </c>
      <c r="I187" s="5" t="str">
        <f>+WORLDCUP!BD66</f>
        <v>Senegal</v>
      </c>
      <c r="J187" s="5" t="str">
        <f>+WORLDCUP!BD68</f>
        <v>DR Congo</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Curaçao</v>
      </c>
      <c r="D188" s="5" t="str">
        <f>+WORLDCUP!BD67</f>
        <v>Jordan</v>
      </c>
      <c r="E188" s="5" t="str">
        <f>+WORLDCUP!BD66</f>
        <v>Senegal</v>
      </c>
      <c r="F188" s="5" t="str">
        <f>+WORLDCUP!BD61</f>
        <v>Paraguay</v>
      </c>
      <c r="G188" s="5" t="str">
        <f>+WORLDCUP!BD58</f>
        <v>Mexico</v>
      </c>
      <c r="H188" s="5" t="str">
        <f>+WORLDCUP!BD63</f>
        <v>Japan</v>
      </c>
      <c r="I188" s="5" t="str">
        <f>+WORLDCUP!BD69</f>
        <v>Ghana</v>
      </c>
      <c r="J188" s="5" t="str">
        <f>+WORLDCUP!BD68</f>
        <v>DR Congo</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Saudi Arabia</v>
      </c>
      <c r="D189" s="5" t="str">
        <f>+WORLDCUP!BD67</f>
        <v>Jordan</v>
      </c>
      <c r="E189" s="5" t="str">
        <f>+WORLDCUP!BD62</f>
        <v>Curaçao</v>
      </c>
      <c r="F189" s="5" t="str">
        <f>+WORLDCUP!BD61</f>
        <v>Paraguay</v>
      </c>
      <c r="G189" s="5" t="str">
        <f>+WORLDCUP!BD58</f>
        <v>Mexico</v>
      </c>
      <c r="H189" s="5" t="str">
        <f>+WORLDCUP!BD63</f>
        <v>Japan</v>
      </c>
      <c r="I189" s="5" t="str">
        <f>+WORLDCUP!BD69</f>
        <v>Ghana</v>
      </c>
      <c r="J189" s="5" t="str">
        <f>+WORLDCUP!BD68</f>
        <v>DR Congo</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Saudi Arabia</v>
      </c>
      <c r="D190" s="5" t="str">
        <f>+WORLDCUP!BD62</f>
        <v>Curaçao</v>
      </c>
      <c r="E190" s="5" t="str">
        <f>+WORLDCUP!BD66</f>
        <v>Senegal</v>
      </c>
      <c r="F190" s="5" t="str">
        <f>+WORLDCUP!BD61</f>
        <v>Paraguay</v>
      </c>
      <c r="G190" s="5" t="str">
        <f>+WORLDCUP!BD58</f>
        <v>Mexico</v>
      </c>
      <c r="H190" s="5" t="str">
        <f>+WORLDCUP!BD63</f>
        <v>Japan</v>
      </c>
      <c r="I190" s="5" t="str">
        <f>+WORLDCUP!BD69</f>
        <v>Ghana</v>
      </c>
      <c r="J190" s="5" t="str">
        <f>+WORLDCUP!BD68</f>
        <v>DR Congo</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Saudi Arabia</v>
      </c>
      <c r="D191" s="5" t="str">
        <f>+WORLDCUP!BD67</f>
        <v>Jordan</v>
      </c>
      <c r="E191" s="5" t="str">
        <f>+WORLDCUP!BD62</f>
        <v>Curaçao</v>
      </c>
      <c r="F191" s="5" t="str">
        <f>+WORLDCUP!BD61</f>
        <v>Paraguay</v>
      </c>
      <c r="G191" s="5" t="str">
        <f>+WORLDCUP!BD58</f>
        <v>Mexico</v>
      </c>
      <c r="H191" s="5" t="str">
        <f>+WORLDCUP!BD63</f>
        <v>Japan</v>
      </c>
      <c r="I191" s="5" t="str">
        <f>+WORLDCUP!BD69</f>
        <v>Ghana</v>
      </c>
      <c r="J191" s="5" t="str">
        <f>+WORLDCUP!BD66</f>
        <v>Senegal</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Saudi Arabia</v>
      </c>
      <c r="D192" s="5" t="str">
        <f>+WORLDCUP!BD67</f>
        <v>Jordan</v>
      </c>
      <c r="E192" s="5" t="str">
        <f>+WORLDCUP!BD62</f>
        <v>Curaçao</v>
      </c>
      <c r="F192" s="5" t="str">
        <f>+WORLDCUP!BD61</f>
        <v>Paraguay</v>
      </c>
      <c r="G192" s="5" t="str">
        <f>+WORLDCUP!BD58</f>
        <v>Mexico</v>
      </c>
      <c r="H192" s="5" t="str">
        <f>+WORLDCUP!BD63</f>
        <v>Japan</v>
      </c>
      <c r="I192" s="5" t="str">
        <f>+WORLDCUP!BD66</f>
        <v>Senegal</v>
      </c>
      <c r="J192" s="5" t="str">
        <f>+WORLDCUP!BD68</f>
        <v>DR Congo</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Curaçao</v>
      </c>
      <c r="D193" s="5" t="str">
        <f>+WORLDCUP!BD64</f>
        <v>Egypt</v>
      </c>
      <c r="E193" s="5" t="str">
        <f>+WORLDCUP!BD67</f>
        <v>Jordan</v>
      </c>
      <c r="F193" s="5" t="str">
        <f>+WORLDCUP!BD61</f>
        <v>Paraguay</v>
      </c>
      <c r="G193" s="5" t="str">
        <f>+WORLDCUP!BD58</f>
        <v>Mexico</v>
      </c>
      <c r="H193" s="5" t="str">
        <f>+WORLDCUP!BD63</f>
        <v>Japan</v>
      </c>
      <c r="I193" s="5" t="str">
        <f>+WORLDCUP!BD69</f>
        <v>Ghana</v>
      </c>
      <c r="J193" s="5" t="str">
        <f>+WORLDCUP!BD68</f>
        <v>DR Congo</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Curaçao</v>
      </c>
      <c r="D194" s="5" t="str">
        <f>+WORLDCUP!BD64</f>
        <v>Egypt</v>
      </c>
      <c r="E194" s="5" t="str">
        <f>+WORLDCUP!BD66</f>
        <v>Senegal</v>
      </c>
      <c r="F194" s="5" t="str">
        <f>+WORLDCUP!BD61</f>
        <v>Paraguay</v>
      </c>
      <c r="G194" s="5" t="str">
        <f>+WORLDCUP!BD58</f>
        <v>Mexico</v>
      </c>
      <c r="H194" s="5" t="str">
        <f>+WORLDCUP!BD63</f>
        <v>Japan</v>
      </c>
      <c r="I194" s="5" t="str">
        <f>+WORLDCUP!BD69</f>
        <v>Ghana</v>
      </c>
      <c r="J194" s="5" t="str">
        <f>+WORLDCUP!BD68</f>
        <v>DR Congo</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Curaçao</v>
      </c>
      <c r="D195" s="5" t="str">
        <f>+WORLDCUP!BD64</f>
        <v>Egypt</v>
      </c>
      <c r="E195" s="5" t="str">
        <f>+WORLDCUP!BD67</f>
        <v>Jordan</v>
      </c>
      <c r="F195" s="5" t="str">
        <f>+WORLDCUP!BD61</f>
        <v>Paraguay</v>
      </c>
      <c r="G195" s="5" t="str">
        <f>+WORLDCUP!BD58</f>
        <v>Mexico</v>
      </c>
      <c r="H195" s="5" t="str">
        <f>+WORLDCUP!BD63</f>
        <v>Japan</v>
      </c>
      <c r="I195" s="5" t="str">
        <f>+WORLDCUP!BD69</f>
        <v>Ghana</v>
      </c>
      <c r="J195" s="5" t="str">
        <f>+WORLDCUP!BD66</f>
        <v>Senegal</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Curaçao</v>
      </c>
      <c r="D196" s="5" t="str">
        <f>+WORLDCUP!BD64</f>
        <v>Egypt</v>
      </c>
      <c r="E196" s="5" t="str">
        <f>+WORLDCUP!BD67</f>
        <v>Jordan</v>
      </c>
      <c r="F196" s="5" t="str">
        <f>+WORLDCUP!BD61</f>
        <v>Paraguay</v>
      </c>
      <c r="G196" s="5" t="str">
        <f>+WORLDCUP!BD58</f>
        <v>Mexico</v>
      </c>
      <c r="H196" s="5" t="str">
        <f>+WORLDCUP!BD63</f>
        <v>Japan</v>
      </c>
      <c r="I196" s="5" t="str">
        <f>+WORLDCUP!BD66</f>
        <v>Senegal</v>
      </c>
      <c r="J196" s="5" t="str">
        <f>+WORLDCUP!BD68</f>
        <v>DR Congo</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Saudi Arabia</v>
      </c>
      <c r="D197" s="5" t="str">
        <f>+WORLDCUP!BD64</f>
        <v>Egypt</v>
      </c>
      <c r="E197" s="5" t="str">
        <f>+WORLDCUP!BD62</f>
        <v>Curaçao</v>
      </c>
      <c r="F197" s="5" t="str">
        <f>+WORLDCUP!BD61</f>
        <v>Paraguay</v>
      </c>
      <c r="G197" s="5" t="str">
        <f>+WORLDCUP!BD58</f>
        <v>Mexico</v>
      </c>
      <c r="H197" s="5" t="str">
        <f>+WORLDCUP!BD63</f>
        <v>Japan</v>
      </c>
      <c r="I197" s="5" t="str">
        <f>+WORLDCUP!BD69</f>
        <v>Ghana</v>
      </c>
      <c r="J197" s="5" t="str">
        <f>+WORLDCUP!BD68</f>
        <v>DR Congo</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Saudi Arabia</v>
      </c>
      <c r="D198" s="5" t="str">
        <f>+WORLDCUP!BD64</f>
        <v>Egypt</v>
      </c>
      <c r="E198" s="5" t="str">
        <f>+WORLDCUP!BD67</f>
        <v>Jordan</v>
      </c>
      <c r="F198" s="5" t="str">
        <f>+WORLDCUP!BD61</f>
        <v>Paraguay</v>
      </c>
      <c r="G198" s="5" t="str">
        <f>+WORLDCUP!BD58</f>
        <v>Mexico</v>
      </c>
      <c r="H198" s="5" t="str">
        <f>+WORLDCUP!BD63</f>
        <v>Japan</v>
      </c>
      <c r="I198" s="5" t="str">
        <f>+WORLDCUP!BD69</f>
        <v>Ghana</v>
      </c>
      <c r="J198" s="5" t="str">
        <f>+WORLDCUP!BD62</f>
        <v>Curaçao</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Saudi Arabia</v>
      </c>
      <c r="D199" s="5" t="str">
        <f>+WORLDCUP!BD64</f>
        <v>Egypt</v>
      </c>
      <c r="E199" s="5" t="str">
        <f>+WORLDCUP!BD67</f>
        <v>Jordan</v>
      </c>
      <c r="F199" s="5" t="str">
        <f>+WORLDCUP!BD61</f>
        <v>Paraguay</v>
      </c>
      <c r="G199" s="5" t="str">
        <f>+WORLDCUP!BD58</f>
        <v>Mexico</v>
      </c>
      <c r="H199" s="5" t="str">
        <f>+WORLDCUP!BD63</f>
        <v>Japan</v>
      </c>
      <c r="I199" s="5" t="str">
        <f>+WORLDCUP!BD62</f>
        <v>Curaçao</v>
      </c>
      <c r="J199" s="5" t="str">
        <f>+WORLDCUP!BD68</f>
        <v>DR Congo</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Saudi Arabia</v>
      </c>
      <c r="D200" s="5" t="str">
        <f>+WORLDCUP!BD64</f>
        <v>Egypt</v>
      </c>
      <c r="E200" s="5" t="str">
        <f>+WORLDCUP!BD62</f>
        <v>Curaçao</v>
      </c>
      <c r="F200" s="5" t="str">
        <f>+WORLDCUP!BD61</f>
        <v>Paraguay</v>
      </c>
      <c r="G200" s="5" t="str">
        <f>+WORLDCUP!BD58</f>
        <v>Mexico</v>
      </c>
      <c r="H200" s="5" t="str">
        <f>+WORLDCUP!BD63</f>
        <v>Japan</v>
      </c>
      <c r="I200" s="5" t="str">
        <f>+WORLDCUP!BD69</f>
        <v>Ghana</v>
      </c>
      <c r="J200" s="5" t="str">
        <f>+WORLDCUP!BD66</f>
        <v>Senegal</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Saudi Arabia</v>
      </c>
      <c r="D201" s="5" t="str">
        <f>+WORLDCUP!BD64</f>
        <v>Egypt</v>
      </c>
      <c r="E201" s="5" t="str">
        <f>+WORLDCUP!BD62</f>
        <v>Curaçao</v>
      </c>
      <c r="F201" s="5" t="str">
        <f>+WORLDCUP!BD61</f>
        <v>Paraguay</v>
      </c>
      <c r="G201" s="5" t="str">
        <f>+WORLDCUP!BD58</f>
        <v>Mexico</v>
      </c>
      <c r="H201" s="5" t="str">
        <f>+WORLDCUP!BD63</f>
        <v>Japan</v>
      </c>
      <c r="I201" s="5" t="str">
        <f>+WORLDCUP!BD66</f>
        <v>Senegal</v>
      </c>
      <c r="J201" s="5" t="str">
        <f>+WORLDCUP!BD68</f>
        <v>DR Congo</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Saudi Arabia</v>
      </c>
      <c r="D202" s="5" t="str">
        <f>+WORLDCUP!BD64</f>
        <v>Egypt</v>
      </c>
      <c r="E202" s="5" t="str">
        <f>+WORLDCUP!BD67</f>
        <v>Jordan</v>
      </c>
      <c r="F202" s="5" t="str">
        <f>+WORLDCUP!BD61</f>
        <v>Paraguay</v>
      </c>
      <c r="G202" s="5" t="str">
        <f>+WORLDCUP!BD58</f>
        <v>Mexico</v>
      </c>
      <c r="H202" s="5" t="str">
        <f>+WORLDCUP!BD63</f>
        <v>Japan</v>
      </c>
      <c r="I202" s="5" t="str">
        <f>+WORLDCUP!BD62</f>
        <v>Curaçao</v>
      </c>
      <c r="J202" s="5" t="str">
        <f>+WORLDCUP!BD66</f>
        <v>Senegal</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Saudi Arabia</v>
      </c>
      <c r="D203" s="5" t="str">
        <f>+WORLDCUP!BD67</f>
        <v>Jordan</v>
      </c>
      <c r="E203" s="5" t="str">
        <f>+WORLDCUP!BD66</f>
        <v>Senegal</v>
      </c>
      <c r="F203" s="5" t="str">
        <f>+WORLDCUP!BD60</f>
        <v>Scotland</v>
      </c>
      <c r="G203" s="5" t="str">
        <f>+WORLDCUP!BD58</f>
        <v>Mexico</v>
      </c>
      <c r="H203" s="5" t="str">
        <f>+WORLDCUP!BD64</f>
        <v>Egypt</v>
      </c>
      <c r="I203" s="5" t="str">
        <f>+WORLDCUP!BD69</f>
        <v>Ghana</v>
      </c>
      <c r="J203" s="5" t="str">
        <f>+WORLDCUP!BD68</f>
        <v>DR Congo</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Saudi Arabia</v>
      </c>
      <c r="D204" s="5" t="str">
        <f>+WORLDCUP!BD67</f>
        <v>Jordan</v>
      </c>
      <c r="E204" s="5" t="str">
        <f>+WORLDCUP!BD66</f>
        <v>Senegal</v>
      </c>
      <c r="F204" s="5" t="str">
        <f>+WORLDCUP!BD60</f>
        <v>Scotland</v>
      </c>
      <c r="G204" s="5" t="str">
        <f>+WORLDCUP!BD58</f>
        <v>Mexico</v>
      </c>
      <c r="H204" s="5" t="str">
        <f>+WORLDCUP!BD63</f>
        <v>Japan</v>
      </c>
      <c r="I204" s="5" t="str">
        <f>+WORLDCUP!BD69</f>
        <v>Ghana</v>
      </c>
      <c r="J204" s="5" t="str">
        <f>+WORLDCUP!BD68</f>
        <v>DR Congo</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Senegal</v>
      </c>
      <c r="D205" s="5" t="str">
        <f>+WORLDCUP!BD64</f>
        <v>Egypt</v>
      </c>
      <c r="E205" s="5" t="str">
        <f>+WORLDCUP!BD67</f>
        <v>Jordan</v>
      </c>
      <c r="F205" s="5" t="str">
        <f>+WORLDCUP!BD60</f>
        <v>Scotland</v>
      </c>
      <c r="G205" s="5" t="str">
        <f>+WORLDCUP!BD58</f>
        <v>Mexico</v>
      </c>
      <c r="H205" s="5" t="str">
        <f>+WORLDCUP!BD63</f>
        <v>Japan</v>
      </c>
      <c r="I205" s="5" t="str">
        <f>+WORLDCUP!BD69</f>
        <v>Ghana</v>
      </c>
      <c r="J205" s="5" t="str">
        <f>+WORLDCUP!BD68</f>
        <v>DR Congo</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Saudi Arabia</v>
      </c>
      <c r="D206" s="5" t="str">
        <f>+WORLDCUP!BD64</f>
        <v>Egypt</v>
      </c>
      <c r="E206" s="5" t="str">
        <f>+WORLDCUP!BD67</f>
        <v>Jordan</v>
      </c>
      <c r="F206" s="5" t="str">
        <f>+WORLDCUP!BD60</f>
        <v>Scotland</v>
      </c>
      <c r="G206" s="5" t="str">
        <f>+WORLDCUP!BD58</f>
        <v>Mexico</v>
      </c>
      <c r="H206" s="5" t="str">
        <f>+WORLDCUP!BD63</f>
        <v>Japan</v>
      </c>
      <c r="I206" s="5" t="str">
        <f>+WORLDCUP!BD69</f>
        <v>Ghana</v>
      </c>
      <c r="J206" s="5" t="str">
        <f>+WORLDCUP!BD68</f>
        <v>DR Congo</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Saudi Arabia</v>
      </c>
      <c r="D207" s="5" t="str">
        <f>+WORLDCUP!BD64</f>
        <v>Egypt</v>
      </c>
      <c r="E207" s="5" t="str">
        <f>+WORLDCUP!BD66</f>
        <v>Senegal</v>
      </c>
      <c r="F207" s="5" t="str">
        <f>+WORLDCUP!BD60</f>
        <v>Scotland</v>
      </c>
      <c r="G207" s="5" t="str">
        <f>+WORLDCUP!BD58</f>
        <v>Mexico</v>
      </c>
      <c r="H207" s="5" t="str">
        <f>+WORLDCUP!BD63</f>
        <v>Japan</v>
      </c>
      <c r="I207" s="5" t="str">
        <f>+WORLDCUP!BD69</f>
        <v>Ghana</v>
      </c>
      <c r="J207" s="5" t="str">
        <f>+WORLDCUP!BD68</f>
        <v>DR Congo</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Saudi Arabia</v>
      </c>
      <c r="D208" s="5" t="str">
        <f>+WORLDCUP!BD64</f>
        <v>Egypt</v>
      </c>
      <c r="E208" s="5" t="str">
        <f>+WORLDCUP!BD67</f>
        <v>Jordan</v>
      </c>
      <c r="F208" s="5" t="str">
        <f>+WORLDCUP!BD60</f>
        <v>Scotland</v>
      </c>
      <c r="G208" s="5" t="str">
        <f>+WORLDCUP!BD58</f>
        <v>Mexico</v>
      </c>
      <c r="H208" s="5" t="str">
        <f>+WORLDCUP!BD63</f>
        <v>Japan</v>
      </c>
      <c r="I208" s="5" t="str">
        <f>+WORLDCUP!BD69</f>
        <v>Ghana</v>
      </c>
      <c r="J208" s="5" t="str">
        <f>+WORLDCUP!BD66</f>
        <v>Senegal</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Saudi Arabia</v>
      </c>
      <c r="D209" s="5" t="str">
        <f>+WORLDCUP!BD64</f>
        <v>Egypt</v>
      </c>
      <c r="E209" s="5" t="str">
        <f>+WORLDCUP!BD67</f>
        <v>Jordan</v>
      </c>
      <c r="F209" s="5" t="str">
        <f>+WORLDCUP!BD60</f>
        <v>Scotland</v>
      </c>
      <c r="G209" s="5" t="str">
        <f>+WORLDCUP!BD58</f>
        <v>Mexico</v>
      </c>
      <c r="H209" s="5" t="str">
        <f>+WORLDCUP!BD63</f>
        <v>Japan</v>
      </c>
      <c r="I209" s="5" t="str">
        <f>+WORLDCUP!BD66</f>
        <v>Senegal</v>
      </c>
      <c r="J209" s="5" t="str">
        <f>+WORLDCUP!BD68</f>
        <v>DR Congo</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Curaçao</v>
      </c>
      <c r="D210" s="5" t="str">
        <f>+WORLDCUP!BD67</f>
        <v>Jordan</v>
      </c>
      <c r="E210" s="5" t="str">
        <f>+WORLDCUP!BD66</f>
        <v>Senegal</v>
      </c>
      <c r="F210" s="5" t="str">
        <f>+WORLDCUP!BD60</f>
        <v>Scotland</v>
      </c>
      <c r="G210" s="5" t="str">
        <f>+WORLDCUP!BD58</f>
        <v>Mexico</v>
      </c>
      <c r="H210" s="5" t="str">
        <f>+WORLDCUP!BD65</f>
        <v>Saudi Arabia</v>
      </c>
      <c r="I210" s="5" t="str">
        <f>+WORLDCUP!BD69</f>
        <v>Ghana</v>
      </c>
      <c r="J210" s="5" t="str">
        <f>+WORLDCUP!BD68</f>
        <v>DR Congo</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Curaçao</v>
      </c>
      <c r="D211" s="5" t="str">
        <f>+WORLDCUP!BD67</f>
        <v>Jordan</v>
      </c>
      <c r="E211" s="5" t="str">
        <f>+WORLDCUP!BD66</f>
        <v>Senegal</v>
      </c>
      <c r="F211" s="5" t="str">
        <f>+WORLDCUP!BD60</f>
        <v>Scotland</v>
      </c>
      <c r="G211" s="5" t="str">
        <f>+WORLDCUP!BD58</f>
        <v>Mexico</v>
      </c>
      <c r="H211" s="5" t="str">
        <f>+WORLDCUP!BD64</f>
        <v>Egypt</v>
      </c>
      <c r="I211" s="5" t="str">
        <f>+WORLDCUP!BD69</f>
        <v>Ghana</v>
      </c>
      <c r="J211" s="5" t="str">
        <f>+WORLDCUP!BD68</f>
        <v>DR Congo</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Curaçao</v>
      </c>
      <c r="D212" s="5" t="str">
        <f>+WORLDCUP!BD64</f>
        <v>Egypt</v>
      </c>
      <c r="E212" s="5" t="str">
        <f>+WORLDCUP!BD67</f>
        <v>Jordan</v>
      </c>
      <c r="F212" s="5" t="str">
        <f>+WORLDCUP!BD60</f>
        <v>Scotland</v>
      </c>
      <c r="G212" s="5" t="str">
        <f>+WORLDCUP!BD58</f>
        <v>Mexico</v>
      </c>
      <c r="H212" s="5" t="str">
        <f>+WORLDCUP!BD65</f>
        <v>Saudi Arabia</v>
      </c>
      <c r="I212" s="5" t="str">
        <f>+WORLDCUP!BD69</f>
        <v>Ghana</v>
      </c>
      <c r="J212" s="5" t="str">
        <f>+WORLDCUP!BD68</f>
        <v>DR Congo</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Curaçao</v>
      </c>
      <c r="D213" s="5" t="str">
        <f>+WORLDCUP!BD64</f>
        <v>Egypt</v>
      </c>
      <c r="E213" s="5" t="str">
        <f>+WORLDCUP!BD66</f>
        <v>Senegal</v>
      </c>
      <c r="F213" s="5" t="str">
        <f>+WORLDCUP!BD60</f>
        <v>Scotland</v>
      </c>
      <c r="G213" s="5" t="str">
        <f>+WORLDCUP!BD58</f>
        <v>Mexico</v>
      </c>
      <c r="H213" s="5" t="str">
        <f>+WORLDCUP!BD65</f>
        <v>Saudi Arabia</v>
      </c>
      <c r="I213" s="5" t="str">
        <f>+WORLDCUP!BD69</f>
        <v>Ghana</v>
      </c>
      <c r="J213" s="5" t="str">
        <f>+WORLDCUP!BD68</f>
        <v>DR Congo</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Curaçao</v>
      </c>
      <c r="D214" s="5" t="str">
        <f>+WORLDCUP!BD64</f>
        <v>Egypt</v>
      </c>
      <c r="E214" s="5" t="str">
        <f>+WORLDCUP!BD67</f>
        <v>Jordan</v>
      </c>
      <c r="F214" s="5" t="str">
        <f>+WORLDCUP!BD60</f>
        <v>Scotland</v>
      </c>
      <c r="G214" s="5" t="str">
        <f>+WORLDCUP!BD58</f>
        <v>Mexico</v>
      </c>
      <c r="H214" s="5" t="str">
        <f>+WORLDCUP!BD65</f>
        <v>Saudi Arabia</v>
      </c>
      <c r="I214" s="5" t="str">
        <f>+WORLDCUP!BD69</f>
        <v>Ghana</v>
      </c>
      <c r="J214" s="5" t="str">
        <f>+WORLDCUP!BD66</f>
        <v>Senegal</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Curaçao</v>
      </c>
      <c r="D215" s="5" t="str">
        <f>+WORLDCUP!BD64</f>
        <v>Egypt</v>
      </c>
      <c r="E215" s="5" t="str">
        <f>+WORLDCUP!BD67</f>
        <v>Jordan</v>
      </c>
      <c r="F215" s="5" t="str">
        <f>+WORLDCUP!BD60</f>
        <v>Scotland</v>
      </c>
      <c r="G215" s="5" t="str">
        <f>+WORLDCUP!BD58</f>
        <v>Mexico</v>
      </c>
      <c r="H215" s="5" t="str">
        <f>+WORLDCUP!BD65</f>
        <v>Saudi Arabia</v>
      </c>
      <c r="I215" s="5" t="str">
        <f>+WORLDCUP!BD66</f>
        <v>Senegal</v>
      </c>
      <c r="J215" s="5" t="str">
        <f>+WORLDCUP!BD68</f>
        <v>DR Congo</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Curaçao</v>
      </c>
      <c r="D216" s="5" t="str">
        <f>+WORLDCUP!BD67</f>
        <v>Jordan</v>
      </c>
      <c r="E216" s="5" t="str">
        <f>+WORLDCUP!BD66</f>
        <v>Senegal</v>
      </c>
      <c r="F216" s="5" t="str">
        <f>+WORLDCUP!BD60</f>
        <v>Scotland</v>
      </c>
      <c r="G216" s="5" t="str">
        <f>+WORLDCUP!BD58</f>
        <v>Mexico</v>
      </c>
      <c r="H216" s="5" t="str">
        <f>+WORLDCUP!BD63</f>
        <v>Japan</v>
      </c>
      <c r="I216" s="5" t="str">
        <f>+WORLDCUP!BD69</f>
        <v>Ghana</v>
      </c>
      <c r="J216" s="5" t="str">
        <f>+WORLDCUP!BD68</f>
        <v>DR Congo</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Saudi Arabia</v>
      </c>
      <c r="D217" s="5" t="str">
        <f>+WORLDCUP!BD67</f>
        <v>Jordan</v>
      </c>
      <c r="E217" s="5" t="str">
        <f>+WORLDCUP!BD62</f>
        <v>Curaçao</v>
      </c>
      <c r="F217" s="5" t="str">
        <f>+WORLDCUP!BD60</f>
        <v>Scotland</v>
      </c>
      <c r="G217" s="5" t="str">
        <f>+WORLDCUP!BD58</f>
        <v>Mexico</v>
      </c>
      <c r="H217" s="5" t="str">
        <f>+WORLDCUP!BD63</f>
        <v>Japan</v>
      </c>
      <c r="I217" s="5" t="str">
        <f>+WORLDCUP!BD69</f>
        <v>Ghana</v>
      </c>
      <c r="J217" s="5" t="str">
        <f>+WORLDCUP!BD68</f>
        <v>DR Congo</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Saudi Arabia</v>
      </c>
      <c r="D218" s="5" t="str">
        <f>+WORLDCUP!BD62</f>
        <v>Curaçao</v>
      </c>
      <c r="E218" s="5" t="str">
        <f>+WORLDCUP!BD66</f>
        <v>Senegal</v>
      </c>
      <c r="F218" s="5" t="str">
        <f>+WORLDCUP!BD60</f>
        <v>Scotland</v>
      </c>
      <c r="G218" s="5" t="str">
        <f>+WORLDCUP!BD58</f>
        <v>Mexico</v>
      </c>
      <c r="H218" s="5" t="str">
        <f>+WORLDCUP!BD63</f>
        <v>Japan</v>
      </c>
      <c r="I218" s="5" t="str">
        <f>+WORLDCUP!BD69</f>
        <v>Ghana</v>
      </c>
      <c r="J218" s="5" t="str">
        <f>+WORLDCUP!BD68</f>
        <v>DR Congo</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Saudi Arabia</v>
      </c>
      <c r="D219" s="5" t="str">
        <f>+WORLDCUP!BD67</f>
        <v>Jordan</v>
      </c>
      <c r="E219" s="5" t="str">
        <f>+WORLDCUP!BD62</f>
        <v>Curaçao</v>
      </c>
      <c r="F219" s="5" t="str">
        <f>+WORLDCUP!BD60</f>
        <v>Scotland</v>
      </c>
      <c r="G219" s="5" t="str">
        <f>+WORLDCUP!BD58</f>
        <v>Mexico</v>
      </c>
      <c r="H219" s="5" t="str">
        <f>+WORLDCUP!BD63</f>
        <v>Japan</v>
      </c>
      <c r="I219" s="5" t="str">
        <f>+WORLDCUP!BD69</f>
        <v>Ghana</v>
      </c>
      <c r="J219" s="5" t="str">
        <f>+WORLDCUP!BD66</f>
        <v>Senegal</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Saudi Arabia</v>
      </c>
      <c r="D220" s="5" t="str">
        <f>+WORLDCUP!BD67</f>
        <v>Jordan</v>
      </c>
      <c r="E220" s="5" t="str">
        <f>+WORLDCUP!BD62</f>
        <v>Curaçao</v>
      </c>
      <c r="F220" s="5" t="str">
        <f>+WORLDCUP!BD60</f>
        <v>Scotland</v>
      </c>
      <c r="G220" s="5" t="str">
        <f>+WORLDCUP!BD58</f>
        <v>Mexico</v>
      </c>
      <c r="H220" s="5" t="str">
        <f>+WORLDCUP!BD63</f>
        <v>Japan</v>
      </c>
      <c r="I220" s="5" t="str">
        <f>+WORLDCUP!BD66</f>
        <v>Senegal</v>
      </c>
      <c r="J220" s="5" t="str">
        <f>+WORLDCUP!BD68</f>
        <v>DR Congo</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Curaçao</v>
      </c>
      <c r="D221" s="5" t="str">
        <f>+WORLDCUP!BD64</f>
        <v>Egypt</v>
      </c>
      <c r="E221" s="5" t="str">
        <f>+WORLDCUP!BD67</f>
        <v>Jordan</v>
      </c>
      <c r="F221" s="5" t="str">
        <f>+WORLDCUP!BD60</f>
        <v>Scotland</v>
      </c>
      <c r="G221" s="5" t="str">
        <f>+WORLDCUP!BD58</f>
        <v>Mexico</v>
      </c>
      <c r="H221" s="5" t="str">
        <f>+WORLDCUP!BD63</f>
        <v>Japan</v>
      </c>
      <c r="I221" s="5" t="str">
        <f>+WORLDCUP!BD69</f>
        <v>Ghana</v>
      </c>
      <c r="J221" s="5" t="str">
        <f>+WORLDCUP!BD68</f>
        <v>DR Congo</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Curaçao</v>
      </c>
      <c r="D222" s="5" t="str">
        <f>+WORLDCUP!BD64</f>
        <v>Egypt</v>
      </c>
      <c r="E222" s="5" t="str">
        <f>+WORLDCUP!BD66</f>
        <v>Senegal</v>
      </c>
      <c r="F222" s="5" t="str">
        <f>+WORLDCUP!BD60</f>
        <v>Scotland</v>
      </c>
      <c r="G222" s="5" t="str">
        <f>+WORLDCUP!BD58</f>
        <v>Mexico</v>
      </c>
      <c r="H222" s="5" t="str">
        <f>+WORLDCUP!BD63</f>
        <v>Japan</v>
      </c>
      <c r="I222" s="5" t="str">
        <f>+WORLDCUP!BD69</f>
        <v>Ghana</v>
      </c>
      <c r="J222" s="5" t="str">
        <f>+WORLDCUP!BD68</f>
        <v>DR Congo</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Curaçao</v>
      </c>
      <c r="D223" s="5" t="str">
        <f>+WORLDCUP!BD64</f>
        <v>Egypt</v>
      </c>
      <c r="E223" s="5" t="str">
        <f>+WORLDCUP!BD67</f>
        <v>Jordan</v>
      </c>
      <c r="F223" s="5" t="str">
        <f>+WORLDCUP!BD60</f>
        <v>Scotland</v>
      </c>
      <c r="G223" s="5" t="str">
        <f>+WORLDCUP!BD58</f>
        <v>Mexico</v>
      </c>
      <c r="H223" s="5" t="str">
        <f>+WORLDCUP!BD63</f>
        <v>Japan</v>
      </c>
      <c r="I223" s="5" t="str">
        <f>+WORLDCUP!BD69</f>
        <v>Ghana</v>
      </c>
      <c r="J223" s="5" t="str">
        <f>+WORLDCUP!BD66</f>
        <v>Senegal</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Curaçao</v>
      </c>
      <c r="D224" s="5" t="str">
        <f>+WORLDCUP!BD64</f>
        <v>Egypt</v>
      </c>
      <c r="E224" s="5" t="str">
        <f>+WORLDCUP!BD67</f>
        <v>Jordan</v>
      </c>
      <c r="F224" s="5" t="str">
        <f>+WORLDCUP!BD60</f>
        <v>Scotland</v>
      </c>
      <c r="G224" s="5" t="str">
        <f>+WORLDCUP!BD58</f>
        <v>Mexico</v>
      </c>
      <c r="H224" s="5" t="str">
        <f>+WORLDCUP!BD63</f>
        <v>Japan</v>
      </c>
      <c r="I224" s="5" t="str">
        <f>+WORLDCUP!BD66</f>
        <v>Senegal</v>
      </c>
      <c r="J224" s="5" t="str">
        <f>+WORLDCUP!BD68</f>
        <v>DR Congo</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Saudi Arabia</v>
      </c>
      <c r="D225" s="5" t="str">
        <f>+WORLDCUP!BD64</f>
        <v>Egypt</v>
      </c>
      <c r="E225" s="5" t="str">
        <f>+WORLDCUP!BD62</f>
        <v>Curaçao</v>
      </c>
      <c r="F225" s="5" t="str">
        <f>+WORLDCUP!BD60</f>
        <v>Scotland</v>
      </c>
      <c r="G225" s="5" t="str">
        <f>+WORLDCUP!BD58</f>
        <v>Mexico</v>
      </c>
      <c r="H225" s="5" t="str">
        <f>+WORLDCUP!BD63</f>
        <v>Japan</v>
      </c>
      <c r="I225" s="5" t="str">
        <f>+WORLDCUP!BD69</f>
        <v>Ghana</v>
      </c>
      <c r="J225" s="5" t="str">
        <f>+WORLDCUP!BD68</f>
        <v>DR Congo</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Saudi Arabia</v>
      </c>
      <c r="D226" s="5" t="str">
        <f>+WORLDCUP!BD64</f>
        <v>Egypt</v>
      </c>
      <c r="E226" s="5" t="str">
        <f>+WORLDCUP!BD67</f>
        <v>Jordan</v>
      </c>
      <c r="F226" s="5" t="str">
        <f>+WORLDCUP!BD60</f>
        <v>Scotland</v>
      </c>
      <c r="G226" s="5" t="str">
        <f>+WORLDCUP!BD58</f>
        <v>Mexico</v>
      </c>
      <c r="H226" s="5" t="str">
        <f>+WORLDCUP!BD63</f>
        <v>Japan</v>
      </c>
      <c r="I226" s="5" t="str">
        <f>+WORLDCUP!BD69</f>
        <v>Ghana</v>
      </c>
      <c r="J226" s="5" t="str">
        <f>+WORLDCUP!BD62</f>
        <v>Curaçao</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Saudi Arabia</v>
      </c>
      <c r="D227" s="5" t="str">
        <f>+WORLDCUP!BD64</f>
        <v>Egypt</v>
      </c>
      <c r="E227" s="5" t="str">
        <f>+WORLDCUP!BD67</f>
        <v>Jordan</v>
      </c>
      <c r="F227" s="5" t="str">
        <f>+WORLDCUP!BD60</f>
        <v>Scotland</v>
      </c>
      <c r="G227" s="5" t="str">
        <f>+WORLDCUP!BD58</f>
        <v>Mexico</v>
      </c>
      <c r="H227" s="5" t="str">
        <f>+WORLDCUP!BD63</f>
        <v>Japan</v>
      </c>
      <c r="I227" s="5" t="str">
        <f>+WORLDCUP!BD62</f>
        <v>Curaçao</v>
      </c>
      <c r="J227" s="5" t="str">
        <f>+WORLDCUP!BD68</f>
        <v>DR Congo</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Saudi Arabia</v>
      </c>
      <c r="D228" s="5" t="str">
        <f>+WORLDCUP!BD64</f>
        <v>Egypt</v>
      </c>
      <c r="E228" s="5" t="str">
        <f>+WORLDCUP!BD62</f>
        <v>Curaçao</v>
      </c>
      <c r="F228" s="5" t="str">
        <f>+WORLDCUP!BD60</f>
        <v>Scotland</v>
      </c>
      <c r="G228" s="5" t="str">
        <f>+WORLDCUP!BD58</f>
        <v>Mexico</v>
      </c>
      <c r="H228" s="5" t="str">
        <f>+WORLDCUP!BD63</f>
        <v>Japan</v>
      </c>
      <c r="I228" s="5" t="str">
        <f>+WORLDCUP!BD69</f>
        <v>Ghana</v>
      </c>
      <c r="J228" s="5" t="str">
        <f>+WORLDCUP!BD66</f>
        <v>Senegal</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Saudi Arabia</v>
      </c>
      <c r="D229" s="5" t="str">
        <f>+WORLDCUP!BD64</f>
        <v>Egypt</v>
      </c>
      <c r="E229" s="5" t="str">
        <f>+WORLDCUP!BD62</f>
        <v>Curaçao</v>
      </c>
      <c r="F229" s="5" t="str">
        <f>+WORLDCUP!BD60</f>
        <v>Scotland</v>
      </c>
      <c r="G229" s="5" t="str">
        <f>+WORLDCUP!BD58</f>
        <v>Mexico</v>
      </c>
      <c r="H229" s="5" t="str">
        <f>+WORLDCUP!BD63</f>
        <v>Japan</v>
      </c>
      <c r="I229" s="5" t="str">
        <f>+WORLDCUP!BD66</f>
        <v>Senegal</v>
      </c>
      <c r="J229" s="5" t="str">
        <f>+WORLDCUP!BD68</f>
        <v>DR Congo</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Saudi Arabia</v>
      </c>
      <c r="D230" s="5" t="str">
        <f>+WORLDCUP!BD64</f>
        <v>Egypt</v>
      </c>
      <c r="E230" s="5" t="str">
        <f>+WORLDCUP!BD67</f>
        <v>Jordan</v>
      </c>
      <c r="F230" s="5" t="str">
        <f>+WORLDCUP!BD60</f>
        <v>Scotland</v>
      </c>
      <c r="G230" s="5" t="str">
        <f>+WORLDCUP!BD58</f>
        <v>Mexico</v>
      </c>
      <c r="H230" s="5" t="str">
        <f>+WORLDCUP!BD63</f>
        <v>Japan</v>
      </c>
      <c r="I230" s="5" t="str">
        <f>+WORLDCUP!BD62</f>
        <v>Curaçao</v>
      </c>
      <c r="J230" s="5" t="str">
        <f>+WORLDCUP!BD66</f>
        <v>Senegal</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Saudi Arabia</v>
      </c>
      <c r="D231" s="5" t="str">
        <f>+WORLDCUP!BD67</f>
        <v>Jordan</v>
      </c>
      <c r="E231" s="5" t="str">
        <f>+WORLDCUP!BD66</f>
        <v>Senegal</v>
      </c>
      <c r="F231" s="5" t="str">
        <f>+WORLDCUP!BD60</f>
        <v>Scotland</v>
      </c>
      <c r="G231" s="5" t="str">
        <f>+WORLDCUP!BD58</f>
        <v>Mexico</v>
      </c>
      <c r="H231" s="5" t="str">
        <f>+WORLDCUP!BD61</f>
        <v>Paraguay</v>
      </c>
      <c r="I231" s="5" t="str">
        <f>+WORLDCUP!BD69</f>
        <v>Ghana</v>
      </c>
      <c r="J231" s="5" t="str">
        <f>+WORLDCUP!BD68</f>
        <v>DR Congo</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Senegal</v>
      </c>
      <c r="D232" s="5" t="str">
        <f>+WORLDCUP!BD64</f>
        <v>Egypt</v>
      </c>
      <c r="E232" s="5" t="str">
        <f>+WORLDCUP!BD67</f>
        <v>Jordan</v>
      </c>
      <c r="F232" s="5" t="str">
        <f>+WORLDCUP!BD60</f>
        <v>Scotland</v>
      </c>
      <c r="G232" s="5" t="str">
        <f>+WORLDCUP!BD58</f>
        <v>Mexico</v>
      </c>
      <c r="H232" s="5" t="str">
        <f>+WORLDCUP!BD61</f>
        <v>Paraguay</v>
      </c>
      <c r="I232" s="5" t="str">
        <f>+WORLDCUP!BD69</f>
        <v>Ghana</v>
      </c>
      <c r="J232" s="5" t="str">
        <f>+WORLDCUP!BD68</f>
        <v>DR Congo</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Saudi Arabia</v>
      </c>
      <c r="D233" s="5" t="str">
        <f>+WORLDCUP!BD64</f>
        <v>Egypt</v>
      </c>
      <c r="E233" s="5" t="str">
        <f>+WORLDCUP!BD67</f>
        <v>Jordan</v>
      </c>
      <c r="F233" s="5" t="str">
        <f>+WORLDCUP!BD60</f>
        <v>Scotland</v>
      </c>
      <c r="G233" s="5" t="str">
        <f>+WORLDCUP!BD58</f>
        <v>Mexico</v>
      </c>
      <c r="H233" s="5" t="str">
        <f>+WORLDCUP!BD61</f>
        <v>Paraguay</v>
      </c>
      <c r="I233" s="5" t="str">
        <f>+WORLDCUP!BD69</f>
        <v>Ghana</v>
      </c>
      <c r="J233" s="5" t="str">
        <f>+WORLDCUP!BD68</f>
        <v>DR Congo</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Saudi Arabia</v>
      </c>
      <c r="D234" s="5" t="str">
        <f>+WORLDCUP!BD64</f>
        <v>Egypt</v>
      </c>
      <c r="E234" s="5" t="str">
        <f>+WORLDCUP!BD66</f>
        <v>Senegal</v>
      </c>
      <c r="F234" s="5" t="str">
        <f>+WORLDCUP!BD60</f>
        <v>Scotland</v>
      </c>
      <c r="G234" s="5" t="str">
        <f>+WORLDCUP!BD58</f>
        <v>Mexico</v>
      </c>
      <c r="H234" s="5" t="str">
        <f>+WORLDCUP!BD61</f>
        <v>Paraguay</v>
      </c>
      <c r="I234" s="5" t="str">
        <f>+WORLDCUP!BD69</f>
        <v>Ghana</v>
      </c>
      <c r="J234" s="5" t="str">
        <f>+WORLDCUP!BD68</f>
        <v>DR Congo</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Saudi Arabia</v>
      </c>
      <c r="D235" s="5" t="str">
        <f>+WORLDCUP!BD64</f>
        <v>Egypt</v>
      </c>
      <c r="E235" s="5" t="str">
        <f>+WORLDCUP!BD67</f>
        <v>Jordan</v>
      </c>
      <c r="F235" s="5" t="str">
        <f>+WORLDCUP!BD60</f>
        <v>Scotland</v>
      </c>
      <c r="G235" s="5" t="str">
        <f>+WORLDCUP!BD58</f>
        <v>Mexico</v>
      </c>
      <c r="H235" s="5" t="str">
        <f>+WORLDCUP!BD61</f>
        <v>Paraguay</v>
      </c>
      <c r="I235" s="5" t="str">
        <f>+WORLDCUP!BD69</f>
        <v>Ghana</v>
      </c>
      <c r="J235" s="5" t="str">
        <f>+WORLDCUP!BD66</f>
        <v>Senegal</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Saudi Arabia</v>
      </c>
      <c r="D236" s="5" t="str">
        <f>+WORLDCUP!BD64</f>
        <v>Egypt</v>
      </c>
      <c r="E236" s="5" t="str">
        <f>+WORLDCUP!BD67</f>
        <v>Jordan</v>
      </c>
      <c r="F236" s="5" t="str">
        <f>+WORLDCUP!BD60</f>
        <v>Scotland</v>
      </c>
      <c r="G236" s="5" t="str">
        <f>+WORLDCUP!BD58</f>
        <v>Mexico</v>
      </c>
      <c r="H236" s="5" t="str">
        <f>+WORLDCUP!BD61</f>
        <v>Paraguay</v>
      </c>
      <c r="I236" s="5" t="str">
        <f>+WORLDCUP!BD66</f>
        <v>Senegal</v>
      </c>
      <c r="J236" s="5" t="str">
        <f>+WORLDCUP!BD68</f>
        <v>DR Congo</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Scotland</v>
      </c>
      <c r="D237" s="5" t="str">
        <f>+WORLDCUP!BD67</f>
        <v>Jordan</v>
      </c>
      <c r="E237" s="5" t="str">
        <f>+WORLDCUP!BD66</f>
        <v>Senegal</v>
      </c>
      <c r="F237" s="5" t="str">
        <f>+WORLDCUP!BD61</f>
        <v>Paraguay</v>
      </c>
      <c r="G237" s="5" t="str">
        <f>+WORLDCUP!BD58</f>
        <v>Mexico</v>
      </c>
      <c r="H237" s="5" t="str">
        <f>+WORLDCUP!BD63</f>
        <v>Japan</v>
      </c>
      <c r="I237" s="5" t="str">
        <f>+WORLDCUP!BD69</f>
        <v>Ghana</v>
      </c>
      <c r="J237" s="5" t="str">
        <f>+WORLDCUP!BD68</f>
        <v>DR Congo</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Saudi Arabia</v>
      </c>
      <c r="D238" s="5" t="str">
        <f>+WORLDCUP!BD67</f>
        <v>Jordan</v>
      </c>
      <c r="E238" s="5" t="str">
        <f>+WORLDCUP!BD63</f>
        <v>Japan</v>
      </c>
      <c r="F238" s="5" t="str">
        <f>+WORLDCUP!BD60</f>
        <v>Scotland</v>
      </c>
      <c r="G238" s="5" t="str">
        <f>+WORLDCUP!BD58</f>
        <v>Mexico</v>
      </c>
      <c r="H238" s="5" t="str">
        <f>+WORLDCUP!BD61</f>
        <v>Paraguay</v>
      </c>
      <c r="I238" s="5" t="str">
        <f>+WORLDCUP!BD69</f>
        <v>Ghana</v>
      </c>
      <c r="J238" s="5" t="str">
        <f>+WORLDCUP!BD68</f>
        <v>DR Congo</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Saudi Arabia</v>
      </c>
      <c r="D239" s="5" t="str">
        <f>+WORLDCUP!BD63</f>
        <v>Japan</v>
      </c>
      <c r="E239" s="5" t="str">
        <f>+WORLDCUP!BD66</f>
        <v>Senegal</v>
      </c>
      <c r="F239" s="5" t="str">
        <f>+WORLDCUP!BD60</f>
        <v>Scotland</v>
      </c>
      <c r="G239" s="5" t="str">
        <f>+WORLDCUP!BD58</f>
        <v>Mexico</v>
      </c>
      <c r="H239" s="5" t="str">
        <f>+WORLDCUP!BD61</f>
        <v>Paraguay</v>
      </c>
      <c r="I239" s="5" t="str">
        <f>+WORLDCUP!BD69</f>
        <v>Ghana</v>
      </c>
      <c r="J239" s="5" t="str">
        <f>+WORLDCUP!BD68</f>
        <v>DR Congo</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Saudi Arabia</v>
      </c>
      <c r="D240" s="5" t="str">
        <f>+WORLDCUP!BD67</f>
        <v>Jordan</v>
      </c>
      <c r="E240" s="5" t="str">
        <f>+WORLDCUP!BD63</f>
        <v>Japan</v>
      </c>
      <c r="F240" s="5" t="str">
        <f>+WORLDCUP!BD60</f>
        <v>Scotland</v>
      </c>
      <c r="G240" s="5" t="str">
        <f>+WORLDCUP!BD58</f>
        <v>Mexico</v>
      </c>
      <c r="H240" s="5" t="str">
        <f>+WORLDCUP!BD61</f>
        <v>Paraguay</v>
      </c>
      <c r="I240" s="5" t="str">
        <f>+WORLDCUP!BD69</f>
        <v>Ghana</v>
      </c>
      <c r="J240" s="5" t="str">
        <f>+WORLDCUP!BD66</f>
        <v>Senegal</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Saudi Arabia</v>
      </c>
      <c r="D241" s="5" t="str">
        <f>+WORLDCUP!BD67</f>
        <v>Jordan</v>
      </c>
      <c r="E241" s="5" t="str">
        <f>+WORLDCUP!BD63</f>
        <v>Japan</v>
      </c>
      <c r="F241" s="5" t="str">
        <f>+WORLDCUP!BD60</f>
        <v>Scotland</v>
      </c>
      <c r="G241" s="5" t="str">
        <f>+WORLDCUP!BD58</f>
        <v>Mexico</v>
      </c>
      <c r="H241" s="5" t="str">
        <f>+WORLDCUP!BD61</f>
        <v>Paraguay</v>
      </c>
      <c r="I241" s="5" t="str">
        <f>+WORLDCUP!BD66</f>
        <v>Senegal</v>
      </c>
      <c r="J241" s="5" t="str">
        <f>+WORLDCUP!BD68</f>
        <v>DR Congo</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Scotland</v>
      </c>
      <c r="D242" s="5" t="str">
        <f>+WORLDCUP!BD64</f>
        <v>Egypt</v>
      </c>
      <c r="E242" s="5" t="str">
        <f>+WORLDCUP!BD67</f>
        <v>Jordan</v>
      </c>
      <c r="F242" s="5" t="str">
        <f>+WORLDCUP!BD61</f>
        <v>Paraguay</v>
      </c>
      <c r="G242" s="5" t="str">
        <f>+WORLDCUP!BD58</f>
        <v>Mexico</v>
      </c>
      <c r="H242" s="5" t="str">
        <f>+WORLDCUP!BD63</f>
        <v>Japan</v>
      </c>
      <c r="I242" s="5" t="str">
        <f>+WORLDCUP!BD69</f>
        <v>Ghana</v>
      </c>
      <c r="J242" s="5" t="str">
        <f>+WORLDCUP!BD68</f>
        <v>DR Congo</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Scotland</v>
      </c>
      <c r="D243" s="5" t="str">
        <f>+WORLDCUP!BD64</f>
        <v>Egypt</v>
      </c>
      <c r="E243" s="5" t="str">
        <f>+WORLDCUP!BD66</f>
        <v>Senegal</v>
      </c>
      <c r="F243" s="5" t="str">
        <f>+WORLDCUP!BD61</f>
        <v>Paraguay</v>
      </c>
      <c r="G243" s="5" t="str">
        <f>+WORLDCUP!BD58</f>
        <v>Mexico</v>
      </c>
      <c r="H243" s="5" t="str">
        <f>+WORLDCUP!BD63</f>
        <v>Japan</v>
      </c>
      <c r="I243" s="5" t="str">
        <f>+WORLDCUP!BD69</f>
        <v>Ghana</v>
      </c>
      <c r="J243" s="5" t="str">
        <f>+WORLDCUP!BD68</f>
        <v>DR Congo</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Scotland</v>
      </c>
      <c r="D244" s="5" t="str">
        <f>+WORLDCUP!BD64</f>
        <v>Egypt</v>
      </c>
      <c r="E244" s="5" t="str">
        <f>+WORLDCUP!BD67</f>
        <v>Jordan</v>
      </c>
      <c r="F244" s="5" t="str">
        <f>+WORLDCUP!BD61</f>
        <v>Paraguay</v>
      </c>
      <c r="G244" s="5" t="str">
        <f>+WORLDCUP!BD58</f>
        <v>Mexico</v>
      </c>
      <c r="H244" s="5" t="str">
        <f>+WORLDCUP!BD63</f>
        <v>Japan</v>
      </c>
      <c r="I244" s="5" t="str">
        <f>+WORLDCUP!BD69</f>
        <v>Ghana</v>
      </c>
      <c r="J244" s="5" t="str">
        <f>+WORLDCUP!BD66</f>
        <v>Senegal</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Scotland</v>
      </c>
      <c r="D245" s="5" t="str">
        <f>+WORLDCUP!BD64</f>
        <v>Egypt</v>
      </c>
      <c r="E245" s="5" t="str">
        <f>+WORLDCUP!BD67</f>
        <v>Jordan</v>
      </c>
      <c r="F245" s="5" t="str">
        <f>+WORLDCUP!BD61</f>
        <v>Paraguay</v>
      </c>
      <c r="G245" s="5" t="str">
        <f>+WORLDCUP!BD58</f>
        <v>Mexico</v>
      </c>
      <c r="H245" s="5" t="str">
        <f>+WORLDCUP!BD63</f>
        <v>Japan</v>
      </c>
      <c r="I245" s="5" t="str">
        <f>+WORLDCUP!BD66</f>
        <v>Senegal</v>
      </c>
      <c r="J245" s="5" t="str">
        <f>+WORLDCUP!BD68</f>
        <v>DR Congo</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Saudi Arabia</v>
      </c>
      <c r="D246" s="5" t="str">
        <f>+WORLDCUP!BD64</f>
        <v>Egypt</v>
      </c>
      <c r="E246" s="5" t="str">
        <f>+WORLDCUP!BD63</f>
        <v>Japan</v>
      </c>
      <c r="F246" s="5" t="str">
        <f>+WORLDCUP!BD60</f>
        <v>Scotland</v>
      </c>
      <c r="G246" s="5" t="str">
        <f>+WORLDCUP!BD58</f>
        <v>Mexico</v>
      </c>
      <c r="H246" s="5" t="str">
        <f>+WORLDCUP!BD61</f>
        <v>Paraguay</v>
      </c>
      <c r="I246" s="5" t="str">
        <f>+WORLDCUP!BD69</f>
        <v>Ghana</v>
      </c>
      <c r="J246" s="5" t="str">
        <f>+WORLDCUP!BD68</f>
        <v>DR Congo</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Scotland</v>
      </c>
      <c r="D247" s="5" t="str">
        <f>+WORLDCUP!BD64</f>
        <v>Egypt</v>
      </c>
      <c r="E247" s="5" t="str">
        <f>+WORLDCUP!BD67</f>
        <v>Jordan</v>
      </c>
      <c r="F247" s="5" t="str">
        <f>+WORLDCUP!BD61</f>
        <v>Paraguay</v>
      </c>
      <c r="G247" s="5" t="str">
        <f>+WORLDCUP!BD58</f>
        <v>Mexico</v>
      </c>
      <c r="H247" s="5" t="str">
        <f>+WORLDCUP!BD63</f>
        <v>Japan</v>
      </c>
      <c r="I247" s="5" t="str">
        <f>+WORLDCUP!BD69</f>
        <v>Ghana</v>
      </c>
      <c r="J247" s="5" t="str">
        <f>+WORLDCUP!BD65</f>
        <v>Saudi Arabia</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Saudi Arabia</v>
      </c>
      <c r="D248" s="5" t="str">
        <f>+WORLDCUP!BD64</f>
        <v>Egypt</v>
      </c>
      <c r="E248" s="5" t="str">
        <f>+WORLDCUP!BD67</f>
        <v>Jordan</v>
      </c>
      <c r="F248" s="5" t="str">
        <f>+WORLDCUP!BD60</f>
        <v>Scotland</v>
      </c>
      <c r="G248" s="5" t="str">
        <f>+WORLDCUP!BD58</f>
        <v>Mexico</v>
      </c>
      <c r="H248" s="5" t="str">
        <f>+WORLDCUP!BD63</f>
        <v>Japan</v>
      </c>
      <c r="I248" s="5" t="str">
        <f>+WORLDCUP!BD61</f>
        <v>Paraguay</v>
      </c>
      <c r="J248" s="5" t="str">
        <f>+WORLDCUP!BD68</f>
        <v>DR Congo</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Saudi Arabia</v>
      </c>
      <c r="D249" s="5" t="str">
        <f>+WORLDCUP!BD64</f>
        <v>Egypt</v>
      </c>
      <c r="E249" s="5" t="str">
        <f>+WORLDCUP!BD63</f>
        <v>Japan</v>
      </c>
      <c r="F249" s="5" t="str">
        <f>+WORLDCUP!BD60</f>
        <v>Scotland</v>
      </c>
      <c r="G249" s="5" t="str">
        <f>+WORLDCUP!BD58</f>
        <v>Mexico</v>
      </c>
      <c r="H249" s="5" t="str">
        <f>+WORLDCUP!BD61</f>
        <v>Paraguay</v>
      </c>
      <c r="I249" s="5" t="str">
        <f>+WORLDCUP!BD69</f>
        <v>Ghana</v>
      </c>
      <c r="J249" s="5" t="str">
        <f>+WORLDCUP!BD66</f>
        <v>Senegal</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Saudi Arabia</v>
      </c>
      <c r="D250" s="5" t="str">
        <f>+WORLDCUP!BD64</f>
        <v>Egypt</v>
      </c>
      <c r="E250" s="5" t="str">
        <f>+WORLDCUP!BD63</f>
        <v>Japan</v>
      </c>
      <c r="F250" s="5" t="str">
        <f>+WORLDCUP!BD60</f>
        <v>Scotland</v>
      </c>
      <c r="G250" s="5" t="str">
        <f>+WORLDCUP!BD58</f>
        <v>Mexico</v>
      </c>
      <c r="H250" s="5" t="str">
        <f>+WORLDCUP!BD61</f>
        <v>Paraguay</v>
      </c>
      <c r="I250" s="5" t="str">
        <f>+WORLDCUP!BD66</f>
        <v>Senegal</v>
      </c>
      <c r="J250" s="5" t="str">
        <f>+WORLDCUP!BD68</f>
        <v>DR Congo</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Saudi Arabia</v>
      </c>
      <c r="D251" s="5" t="str">
        <f>+WORLDCUP!BD64</f>
        <v>Egypt</v>
      </c>
      <c r="E251" s="5" t="str">
        <f>+WORLDCUP!BD67</f>
        <v>Jordan</v>
      </c>
      <c r="F251" s="5" t="str">
        <f>+WORLDCUP!BD60</f>
        <v>Scotland</v>
      </c>
      <c r="G251" s="5" t="str">
        <f>+WORLDCUP!BD58</f>
        <v>Mexico</v>
      </c>
      <c r="H251" s="5" t="str">
        <f>+WORLDCUP!BD63</f>
        <v>Japan</v>
      </c>
      <c r="I251" s="5" t="str">
        <f>+WORLDCUP!BD61</f>
        <v>Paraguay</v>
      </c>
      <c r="J251" s="5" t="str">
        <f>+WORLDCUP!BD66</f>
        <v>Senegal</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Curaçao</v>
      </c>
      <c r="D252" s="5" t="str">
        <f>+WORLDCUP!BD67</f>
        <v>Jordan</v>
      </c>
      <c r="E252" s="5" t="str">
        <f>+WORLDCUP!BD66</f>
        <v>Senegal</v>
      </c>
      <c r="F252" s="5" t="str">
        <f>+WORLDCUP!BD60</f>
        <v>Scotland</v>
      </c>
      <c r="G252" s="5" t="str">
        <f>+WORLDCUP!BD58</f>
        <v>Mexico</v>
      </c>
      <c r="H252" s="5" t="str">
        <f>+WORLDCUP!BD61</f>
        <v>Paraguay</v>
      </c>
      <c r="I252" s="5" t="str">
        <f>+WORLDCUP!BD69</f>
        <v>Ghana</v>
      </c>
      <c r="J252" s="5" t="str">
        <f>+WORLDCUP!BD68</f>
        <v>DR Congo</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Saudi Arabia</v>
      </c>
      <c r="D253" s="5" t="str">
        <f>+WORLDCUP!BD67</f>
        <v>Jordan</v>
      </c>
      <c r="E253" s="5" t="str">
        <f>+WORLDCUP!BD62</f>
        <v>Curaçao</v>
      </c>
      <c r="F253" s="5" t="str">
        <f>+WORLDCUP!BD60</f>
        <v>Scotland</v>
      </c>
      <c r="G253" s="5" t="str">
        <f>+WORLDCUP!BD58</f>
        <v>Mexico</v>
      </c>
      <c r="H253" s="5" t="str">
        <f>+WORLDCUP!BD61</f>
        <v>Paraguay</v>
      </c>
      <c r="I253" s="5" t="str">
        <f>+WORLDCUP!BD69</f>
        <v>Ghana</v>
      </c>
      <c r="J253" s="5" t="str">
        <f>+WORLDCUP!BD68</f>
        <v>DR Congo</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Saudi Arabia</v>
      </c>
      <c r="D254" s="5" t="str">
        <f>+WORLDCUP!BD62</f>
        <v>Curaçao</v>
      </c>
      <c r="E254" s="5" t="str">
        <f>+WORLDCUP!BD66</f>
        <v>Senegal</v>
      </c>
      <c r="F254" s="5" t="str">
        <f>+WORLDCUP!BD60</f>
        <v>Scotland</v>
      </c>
      <c r="G254" s="5" t="str">
        <f>+WORLDCUP!BD58</f>
        <v>Mexico</v>
      </c>
      <c r="H254" s="5" t="str">
        <f>+WORLDCUP!BD61</f>
        <v>Paraguay</v>
      </c>
      <c r="I254" s="5" t="str">
        <f>+WORLDCUP!BD69</f>
        <v>Ghana</v>
      </c>
      <c r="J254" s="5" t="str">
        <f>+WORLDCUP!BD68</f>
        <v>DR Congo</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Saudi Arabia</v>
      </c>
      <c r="D255" s="5" t="str">
        <f>+WORLDCUP!BD67</f>
        <v>Jordan</v>
      </c>
      <c r="E255" s="5" t="str">
        <f>+WORLDCUP!BD62</f>
        <v>Curaçao</v>
      </c>
      <c r="F255" s="5" t="str">
        <f>+WORLDCUP!BD60</f>
        <v>Scotland</v>
      </c>
      <c r="G255" s="5" t="str">
        <f>+WORLDCUP!BD58</f>
        <v>Mexico</v>
      </c>
      <c r="H255" s="5" t="str">
        <f>+WORLDCUP!BD61</f>
        <v>Paraguay</v>
      </c>
      <c r="I255" s="5" t="str">
        <f>+WORLDCUP!BD69</f>
        <v>Ghana</v>
      </c>
      <c r="J255" s="5" t="str">
        <f>+WORLDCUP!BD66</f>
        <v>Senegal</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Saudi Arabia</v>
      </c>
      <c r="D256" s="5" t="str">
        <f>+WORLDCUP!BD67</f>
        <v>Jordan</v>
      </c>
      <c r="E256" s="5" t="str">
        <f>+WORLDCUP!BD62</f>
        <v>Curaçao</v>
      </c>
      <c r="F256" s="5" t="str">
        <f>+WORLDCUP!BD60</f>
        <v>Scotland</v>
      </c>
      <c r="G256" s="5" t="str">
        <f>+WORLDCUP!BD58</f>
        <v>Mexico</v>
      </c>
      <c r="H256" s="5" t="str">
        <f>+WORLDCUP!BD61</f>
        <v>Paraguay</v>
      </c>
      <c r="I256" s="5" t="str">
        <f>+WORLDCUP!BD66</f>
        <v>Senegal</v>
      </c>
      <c r="J256" s="5" t="str">
        <f>+WORLDCUP!BD68</f>
        <v>DR Congo</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Curaçao</v>
      </c>
      <c r="D257" s="5" t="str">
        <f>+WORLDCUP!BD64</f>
        <v>Egypt</v>
      </c>
      <c r="E257" s="5" t="str">
        <f>+WORLDCUP!BD67</f>
        <v>Jordan</v>
      </c>
      <c r="F257" s="5" t="str">
        <f>+WORLDCUP!BD60</f>
        <v>Scotland</v>
      </c>
      <c r="G257" s="5" t="str">
        <f>+WORLDCUP!BD58</f>
        <v>Mexico</v>
      </c>
      <c r="H257" s="5" t="str">
        <f>+WORLDCUP!BD61</f>
        <v>Paraguay</v>
      </c>
      <c r="I257" s="5" t="str">
        <f>+WORLDCUP!BD69</f>
        <v>Ghana</v>
      </c>
      <c r="J257" s="5" t="str">
        <f>+WORLDCUP!BD68</f>
        <v>DR Congo</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Curaçao</v>
      </c>
      <c r="D258" s="5" t="str">
        <f>+WORLDCUP!BD64</f>
        <v>Egypt</v>
      </c>
      <c r="E258" s="5" t="str">
        <f>+WORLDCUP!BD66</f>
        <v>Senegal</v>
      </c>
      <c r="F258" s="5" t="str">
        <f>+WORLDCUP!BD60</f>
        <v>Scotland</v>
      </c>
      <c r="G258" s="5" t="str">
        <f>+WORLDCUP!BD58</f>
        <v>Mexico</v>
      </c>
      <c r="H258" s="5" t="str">
        <f>+WORLDCUP!BD61</f>
        <v>Paraguay</v>
      </c>
      <c r="I258" s="5" t="str">
        <f>+WORLDCUP!BD69</f>
        <v>Ghana</v>
      </c>
      <c r="J258" s="5" t="str">
        <f>+WORLDCUP!BD68</f>
        <v>DR Congo</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Curaçao</v>
      </c>
      <c r="D259" s="5" t="str">
        <f>+WORLDCUP!BD64</f>
        <v>Egypt</v>
      </c>
      <c r="E259" s="5" t="str">
        <f>+WORLDCUP!BD67</f>
        <v>Jordan</v>
      </c>
      <c r="F259" s="5" t="str">
        <f>+WORLDCUP!BD60</f>
        <v>Scotland</v>
      </c>
      <c r="G259" s="5" t="str">
        <f>+WORLDCUP!BD58</f>
        <v>Mexico</v>
      </c>
      <c r="H259" s="5" t="str">
        <f>+WORLDCUP!BD61</f>
        <v>Paraguay</v>
      </c>
      <c r="I259" s="5" t="str">
        <f>+WORLDCUP!BD69</f>
        <v>Ghana</v>
      </c>
      <c r="J259" s="5" t="str">
        <f>+WORLDCUP!BD66</f>
        <v>Senegal</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Curaçao</v>
      </c>
      <c r="D260" s="5" t="str">
        <f>+WORLDCUP!BD64</f>
        <v>Egypt</v>
      </c>
      <c r="E260" s="5" t="str">
        <f>+WORLDCUP!BD67</f>
        <v>Jordan</v>
      </c>
      <c r="F260" s="5" t="str">
        <f>+WORLDCUP!BD60</f>
        <v>Scotland</v>
      </c>
      <c r="G260" s="5" t="str">
        <f>+WORLDCUP!BD58</f>
        <v>Mexico</v>
      </c>
      <c r="H260" s="5" t="str">
        <f>+WORLDCUP!BD61</f>
        <v>Paraguay</v>
      </c>
      <c r="I260" s="5" t="str">
        <f>+WORLDCUP!BD66</f>
        <v>Senegal</v>
      </c>
      <c r="J260" s="5" t="str">
        <f>+WORLDCUP!BD68</f>
        <v>DR Congo</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Saudi Arabia</v>
      </c>
      <c r="D261" s="5" t="str">
        <f>+WORLDCUP!BD64</f>
        <v>Egypt</v>
      </c>
      <c r="E261" s="5" t="str">
        <f>+WORLDCUP!BD62</f>
        <v>Curaçao</v>
      </c>
      <c r="F261" s="5" t="str">
        <f>+WORLDCUP!BD60</f>
        <v>Scotland</v>
      </c>
      <c r="G261" s="5" t="str">
        <f>+WORLDCUP!BD58</f>
        <v>Mexico</v>
      </c>
      <c r="H261" s="5" t="str">
        <f>+WORLDCUP!BD61</f>
        <v>Paraguay</v>
      </c>
      <c r="I261" s="5" t="str">
        <f>+WORLDCUP!BD69</f>
        <v>Ghana</v>
      </c>
      <c r="J261" s="5" t="str">
        <f>+WORLDCUP!BD68</f>
        <v>DR Congo</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Saudi Arabia</v>
      </c>
      <c r="D262" s="5" t="str">
        <f>+WORLDCUP!BD64</f>
        <v>Egypt</v>
      </c>
      <c r="E262" s="5" t="str">
        <f>+WORLDCUP!BD67</f>
        <v>Jordan</v>
      </c>
      <c r="F262" s="5" t="str">
        <f>+WORLDCUP!BD60</f>
        <v>Scotland</v>
      </c>
      <c r="G262" s="5" t="str">
        <f>+WORLDCUP!BD58</f>
        <v>Mexico</v>
      </c>
      <c r="H262" s="5" t="str">
        <f>+WORLDCUP!BD61</f>
        <v>Paraguay</v>
      </c>
      <c r="I262" s="5" t="str">
        <f>+WORLDCUP!BD69</f>
        <v>Ghana</v>
      </c>
      <c r="J262" s="5" t="str">
        <f>+WORLDCUP!BD62</f>
        <v>Curaçao</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Saudi Arabia</v>
      </c>
      <c r="D263" s="5" t="str">
        <f>+WORLDCUP!BD64</f>
        <v>Egypt</v>
      </c>
      <c r="E263" s="5" t="str">
        <f>+WORLDCUP!BD67</f>
        <v>Jordan</v>
      </c>
      <c r="F263" s="5" t="str">
        <f>+WORLDCUP!BD60</f>
        <v>Scotland</v>
      </c>
      <c r="G263" s="5" t="str">
        <f>+WORLDCUP!BD58</f>
        <v>Mexico</v>
      </c>
      <c r="H263" s="5" t="str">
        <f>+WORLDCUP!BD61</f>
        <v>Paraguay</v>
      </c>
      <c r="I263" s="5" t="str">
        <f>+WORLDCUP!BD62</f>
        <v>Curaçao</v>
      </c>
      <c r="J263" s="5" t="str">
        <f>+WORLDCUP!BD68</f>
        <v>DR Congo</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Saudi Arabia</v>
      </c>
      <c r="D264" s="5" t="str">
        <f>+WORLDCUP!BD64</f>
        <v>Egypt</v>
      </c>
      <c r="E264" s="5" t="str">
        <f>+WORLDCUP!BD62</f>
        <v>Curaçao</v>
      </c>
      <c r="F264" s="5" t="str">
        <f>+WORLDCUP!BD60</f>
        <v>Scotland</v>
      </c>
      <c r="G264" s="5" t="str">
        <f>+WORLDCUP!BD58</f>
        <v>Mexico</v>
      </c>
      <c r="H264" s="5" t="str">
        <f>+WORLDCUP!BD61</f>
        <v>Paraguay</v>
      </c>
      <c r="I264" s="5" t="str">
        <f>+WORLDCUP!BD69</f>
        <v>Ghana</v>
      </c>
      <c r="J264" s="5" t="str">
        <f>+WORLDCUP!BD66</f>
        <v>Senegal</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Saudi Arabia</v>
      </c>
      <c r="D265" s="5" t="str">
        <f>+WORLDCUP!BD64</f>
        <v>Egypt</v>
      </c>
      <c r="E265" s="5" t="str">
        <f>+WORLDCUP!BD62</f>
        <v>Curaçao</v>
      </c>
      <c r="F265" s="5" t="str">
        <f>+WORLDCUP!BD60</f>
        <v>Scotland</v>
      </c>
      <c r="G265" s="5" t="str">
        <f>+WORLDCUP!BD58</f>
        <v>Mexico</v>
      </c>
      <c r="H265" s="5" t="str">
        <f>+WORLDCUP!BD61</f>
        <v>Paraguay</v>
      </c>
      <c r="I265" s="5" t="str">
        <f>+WORLDCUP!BD66</f>
        <v>Senegal</v>
      </c>
      <c r="J265" s="5" t="str">
        <f>+WORLDCUP!BD68</f>
        <v>DR Congo</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Saudi Arabia</v>
      </c>
      <c r="D266" s="5" t="str">
        <f>+WORLDCUP!BD64</f>
        <v>Egypt</v>
      </c>
      <c r="E266" s="5" t="str">
        <f>+WORLDCUP!BD67</f>
        <v>Jordan</v>
      </c>
      <c r="F266" s="5" t="str">
        <f>+WORLDCUP!BD60</f>
        <v>Scotland</v>
      </c>
      <c r="G266" s="5" t="str">
        <f>+WORLDCUP!BD58</f>
        <v>Mexico</v>
      </c>
      <c r="H266" s="5" t="str">
        <f>+WORLDCUP!BD61</f>
        <v>Paraguay</v>
      </c>
      <c r="I266" s="5" t="str">
        <f>+WORLDCUP!BD62</f>
        <v>Curaçao</v>
      </c>
      <c r="J266" s="5" t="str">
        <f>+WORLDCUP!BD66</f>
        <v>Senegal</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Scotland</v>
      </c>
      <c r="D267" s="5" t="str">
        <f>+WORLDCUP!BD67</f>
        <v>Jordan</v>
      </c>
      <c r="E267" s="5" t="str">
        <f>+WORLDCUP!BD62</f>
        <v>Curaçao</v>
      </c>
      <c r="F267" s="5" t="str">
        <f>+WORLDCUP!BD61</f>
        <v>Paraguay</v>
      </c>
      <c r="G267" s="5" t="str">
        <f>+WORLDCUP!BD58</f>
        <v>Mexico</v>
      </c>
      <c r="H267" s="5" t="str">
        <f>+WORLDCUP!BD63</f>
        <v>Japan</v>
      </c>
      <c r="I267" s="5" t="str">
        <f>+WORLDCUP!BD69</f>
        <v>Ghana</v>
      </c>
      <c r="J267" s="5" t="str">
        <f>+WORLDCUP!BD68</f>
        <v>DR Congo</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Scotland</v>
      </c>
      <c r="D268" s="5" t="str">
        <f>+WORLDCUP!BD62</f>
        <v>Curaçao</v>
      </c>
      <c r="E268" s="5" t="str">
        <f>+WORLDCUP!BD66</f>
        <v>Senegal</v>
      </c>
      <c r="F268" s="5" t="str">
        <f>+WORLDCUP!BD61</f>
        <v>Paraguay</v>
      </c>
      <c r="G268" s="5" t="str">
        <f>+WORLDCUP!BD58</f>
        <v>Mexico</v>
      </c>
      <c r="H268" s="5" t="str">
        <f>+WORLDCUP!BD63</f>
        <v>Japan</v>
      </c>
      <c r="I268" s="5" t="str">
        <f>+WORLDCUP!BD69</f>
        <v>Ghana</v>
      </c>
      <c r="J268" s="5" t="str">
        <f>+WORLDCUP!BD68</f>
        <v>DR Congo</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Scotland</v>
      </c>
      <c r="D269" s="5" t="str">
        <f>+WORLDCUP!BD67</f>
        <v>Jordan</v>
      </c>
      <c r="E269" s="5" t="str">
        <f>+WORLDCUP!BD62</f>
        <v>Curaçao</v>
      </c>
      <c r="F269" s="5" t="str">
        <f>+WORLDCUP!BD61</f>
        <v>Paraguay</v>
      </c>
      <c r="G269" s="5" t="str">
        <f>+WORLDCUP!BD58</f>
        <v>Mexico</v>
      </c>
      <c r="H269" s="5" t="str">
        <f>+WORLDCUP!BD63</f>
        <v>Japan</v>
      </c>
      <c r="I269" s="5" t="str">
        <f>+WORLDCUP!BD69</f>
        <v>Ghana</v>
      </c>
      <c r="J269" s="5" t="str">
        <f>+WORLDCUP!BD66</f>
        <v>Senegal</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Scotland</v>
      </c>
      <c r="D270" s="5" t="str">
        <f>+WORLDCUP!BD67</f>
        <v>Jordan</v>
      </c>
      <c r="E270" s="5" t="str">
        <f>+WORLDCUP!BD62</f>
        <v>Curaçao</v>
      </c>
      <c r="F270" s="5" t="str">
        <f>+WORLDCUP!BD61</f>
        <v>Paraguay</v>
      </c>
      <c r="G270" s="5" t="str">
        <f>+WORLDCUP!BD58</f>
        <v>Mexico</v>
      </c>
      <c r="H270" s="5" t="str">
        <f>+WORLDCUP!BD63</f>
        <v>Japan</v>
      </c>
      <c r="I270" s="5" t="str">
        <f>+WORLDCUP!BD66</f>
        <v>Senegal</v>
      </c>
      <c r="J270" s="5" t="str">
        <f>+WORLDCUP!BD68</f>
        <v>DR Congo</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Saudi Arabia</v>
      </c>
      <c r="D271" s="5" t="str">
        <f>+WORLDCUP!BD62</f>
        <v>Curaçao</v>
      </c>
      <c r="E271" s="5" t="str">
        <f>+WORLDCUP!BD63</f>
        <v>Japan</v>
      </c>
      <c r="F271" s="5" t="str">
        <f>+WORLDCUP!BD60</f>
        <v>Scotland</v>
      </c>
      <c r="G271" s="5" t="str">
        <f>+WORLDCUP!BD58</f>
        <v>Mexico</v>
      </c>
      <c r="H271" s="5" t="str">
        <f>+WORLDCUP!BD61</f>
        <v>Paraguay</v>
      </c>
      <c r="I271" s="5" t="str">
        <f>+WORLDCUP!BD69</f>
        <v>Ghana</v>
      </c>
      <c r="J271" s="5" t="str">
        <f>+WORLDCUP!BD68</f>
        <v>DR Congo</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Saudi Arabia</v>
      </c>
      <c r="D272" s="5" t="str">
        <f>+WORLDCUP!BD67</f>
        <v>Jordan</v>
      </c>
      <c r="E272" s="5" t="str">
        <f>+WORLDCUP!BD63</f>
        <v>Japan</v>
      </c>
      <c r="F272" s="5" t="str">
        <f>+WORLDCUP!BD60</f>
        <v>Scotland</v>
      </c>
      <c r="G272" s="5" t="str">
        <f>+WORLDCUP!BD58</f>
        <v>Mexico</v>
      </c>
      <c r="H272" s="5" t="str">
        <f>+WORLDCUP!BD61</f>
        <v>Paraguay</v>
      </c>
      <c r="I272" s="5" t="str">
        <f>+WORLDCUP!BD69</f>
        <v>Ghana</v>
      </c>
      <c r="J272" s="5" t="str">
        <f>+WORLDCUP!BD62</f>
        <v>Curaçao</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Saudi Arabia</v>
      </c>
      <c r="D273" s="5" t="str">
        <f>+WORLDCUP!BD67</f>
        <v>Jordan</v>
      </c>
      <c r="E273" s="5" t="str">
        <f>+WORLDCUP!BD62</f>
        <v>Curaçao</v>
      </c>
      <c r="F273" s="5" t="str">
        <f>+WORLDCUP!BD60</f>
        <v>Scotland</v>
      </c>
      <c r="G273" s="5" t="str">
        <f>+WORLDCUP!BD58</f>
        <v>Mexico</v>
      </c>
      <c r="H273" s="5" t="str">
        <f>+WORLDCUP!BD63</f>
        <v>Japan</v>
      </c>
      <c r="I273" s="5" t="str">
        <f>+WORLDCUP!BD61</f>
        <v>Paraguay</v>
      </c>
      <c r="J273" s="5" t="str">
        <f>+WORLDCUP!BD68</f>
        <v>DR Congo</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Saudi Arabia</v>
      </c>
      <c r="D274" s="5" t="str">
        <f>+WORLDCUP!BD62</f>
        <v>Curaçao</v>
      </c>
      <c r="E274" s="5" t="str">
        <f>+WORLDCUP!BD63</f>
        <v>Japan</v>
      </c>
      <c r="F274" s="5" t="str">
        <f>+WORLDCUP!BD60</f>
        <v>Scotland</v>
      </c>
      <c r="G274" s="5" t="str">
        <f>+WORLDCUP!BD58</f>
        <v>Mexico</v>
      </c>
      <c r="H274" s="5" t="str">
        <f>+WORLDCUP!BD61</f>
        <v>Paraguay</v>
      </c>
      <c r="I274" s="5" t="str">
        <f>+WORLDCUP!BD69</f>
        <v>Ghana</v>
      </c>
      <c r="J274" s="5" t="str">
        <f>+WORLDCUP!BD66</f>
        <v>Senegal</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Saudi Arabia</v>
      </c>
      <c r="D275" s="5" t="str">
        <f>+WORLDCUP!BD62</f>
        <v>Curaçao</v>
      </c>
      <c r="E275" s="5" t="str">
        <f>+WORLDCUP!BD63</f>
        <v>Japan</v>
      </c>
      <c r="F275" s="5" t="str">
        <f>+WORLDCUP!BD60</f>
        <v>Scotland</v>
      </c>
      <c r="G275" s="5" t="str">
        <f>+WORLDCUP!BD58</f>
        <v>Mexico</v>
      </c>
      <c r="H275" s="5" t="str">
        <f>+WORLDCUP!BD61</f>
        <v>Paraguay</v>
      </c>
      <c r="I275" s="5" t="str">
        <f>+WORLDCUP!BD66</f>
        <v>Senegal</v>
      </c>
      <c r="J275" s="5" t="str">
        <f>+WORLDCUP!BD68</f>
        <v>DR Congo</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Saudi Arabia</v>
      </c>
      <c r="D276" s="5" t="str">
        <f>+WORLDCUP!BD67</f>
        <v>Jordan</v>
      </c>
      <c r="E276" s="5" t="str">
        <f>+WORLDCUP!BD62</f>
        <v>Curaçao</v>
      </c>
      <c r="F276" s="5" t="str">
        <f>+WORLDCUP!BD60</f>
        <v>Scotland</v>
      </c>
      <c r="G276" s="5" t="str">
        <f>+WORLDCUP!BD58</f>
        <v>Mexico</v>
      </c>
      <c r="H276" s="5" t="str">
        <f>+WORLDCUP!BD63</f>
        <v>Japan</v>
      </c>
      <c r="I276" s="5" t="str">
        <f>+WORLDCUP!BD61</f>
        <v>Paraguay</v>
      </c>
      <c r="J276" s="5" t="str">
        <f>+WORLDCUP!BD66</f>
        <v>Senegal</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Scotland</v>
      </c>
      <c r="D277" s="5" t="str">
        <f>+WORLDCUP!BD64</f>
        <v>Egypt</v>
      </c>
      <c r="E277" s="5" t="str">
        <f>+WORLDCUP!BD62</f>
        <v>Curaçao</v>
      </c>
      <c r="F277" s="5" t="str">
        <f>+WORLDCUP!BD61</f>
        <v>Paraguay</v>
      </c>
      <c r="G277" s="5" t="str">
        <f>+WORLDCUP!BD58</f>
        <v>Mexico</v>
      </c>
      <c r="H277" s="5" t="str">
        <f>+WORLDCUP!BD63</f>
        <v>Japan</v>
      </c>
      <c r="I277" s="5" t="str">
        <f>+WORLDCUP!BD69</f>
        <v>Ghana</v>
      </c>
      <c r="J277" s="5" t="str">
        <f>+WORLDCUP!BD68</f>
        <v>DR Congo</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Scotland</v>
      </c>
      <c r="D278" s="5" t="str">
        <f>+WORLDCUP!BD64</f>
        <v>Egypt</v>
      </c>
      <c r="E278" s="5" t="str">
        <f>+WORLDCUP!BD67</f>
        <v>Jordan</v>
      </c>
      <c r="F278" s="5" t="str">
        <f>+WORLDCUP!BD61</f>
        <v>Paraguay</v>
      </c>
      <c r="G278" s="5" t="str">
        <f>+WORLDCUP!BD58</f>
        <v>Mexico</v>
      </c>
      <c r="H278" s="5" t="str">
        <f>+WORLDCUP!BD63</f>
        <v>Japan</v>
      </c>
      <c r="I278" s="5" t="str">
        <f>+WORLDCUP!BD69</f>
        <v>Ghana</v>
      </c>
      <c r="J278" s="5" t="str">
        <f>+WORLDCUP!BD62</f>
        <v>Curaçao</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Scotland</v>
      </c>
      <c r="D279" s="5" t="str">
        <f>+WORLDCUP!BD64</f>
        <v>Egypt</v>
      </c>
      <c r="E279" s="5" t="str">
        <f>+WORLDCUP!BD67</f>
        <v>Jordan</v>
      </c>
      <c r="F279" s="5" t="str">
        <f>+WORLDCUP!BD61</f>
        <v>Paraguay</v>
      </c>
      <c r="G279" s="5" t="str">
        <f>+WORLDCUP!BD58</f>
        <v>Mexico</v>
      </c>
      <c r="H279" s="5" t="str">
        <f>+WORLDCUP!BD63</f>
        <v>Japan</v>
      </c>
      <c r="I279" s="5" t="str">
        <f>+WORLDCUP!BD62</f>
        <v>Curaçao</v>
      </c>
      <c r="J279" s="5" t="str">
        <f>+WORLDCUP!BD68</f>
        <v>DR Congo</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Scotland</v>
      </c>
      <c r="D280" s="5" t="str">
        <f>+WORLDCUP!BD64</f>
        <v>Egypt</v>
      </c>
      <c r="E280" s="5" t="str">
        <f>+WORLDCUP!BD62</f>
        <v>Curaçao</v>
      </c>
      <c r="F280" s="5" t="str">
        <f>+WORLDCUP!BD61</f>
        <v>Paraguay</v>
      </c>
      <c r="G280" s="5" t="str">
        <f>+WORLDCUP!BD58</f>
        <v>Mexico</v>
      </c>
      <c r="H280" s="5" t="str">
        <f>+WORLDCUP!BD63</f>
        <v>Japan</v>
      </c>
      <c r="I280" s="5" t="str">
        <f>+WORLDCUP!BD69</f>
        <v>Ghana</v>
      </c>
      <c r="J280" s="5" t="str">
        <f>+WORLDCUP!BD66</f>
        <v>Senegal</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Scotland</v>
      </c>
      <c r="D281" s="5" t="str">
        <f>+WORLDCUP!BD64</f>
        <v>Egypt</v>
      </c>
      <c r="E281" s="5" t="str">
        <f>+WORLDCUP!BD62</f>
        <v>Curaçao</v>
      </c>
      <c r="F281" s="5" t="str">
        <f>+WORLDCUP!BD61</f>
        <v>Paraguay</v>
      </c>
      <c r="G281" s="5" t="str">
        <f>+WORLDCUP!BD58</f>
        <v>Mexico</v>
      </c>
      <c r="H281" s="5" t="str">
        <f>+WORLDCUP!BD63</f>
        <v>Japan</v>
      </c>
      <c r="I281" s="5" t="str">
        <f>+WORLDCUP!BD66</f>
        <v>Senegal</v>
      </c>
      <c r="J281" s="5" t="str">
        <f>+WORLDCUP!BD68</f>
        <v>DR Congo</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Scotland</v>
      </c>
      <c r="D282" s="5" t="str">
        <f>+WORLDCUP!BD64</f>
        <v>Egypt</v>
      </c>
      <c r="E282" s="5" t="str">
        <f>+WORLDCUP!BD67</f>
        <v>Jordan</v>
      </c>
      <c r="F282" s="5" t="str">
        <f>+WORLDCUP!BD61</f>
        <v>Paraguay</v>
      </c>
      <c r="G282" s="5" t="str">
        <f>+WORLDCUP!BD58</f>
        <v>Mexico</v>
      </c>
      <c r="H282" s="5" t="str">
        <f>+WORLDCUP!BD63</f>
        <v>Japan</v>
      </c>
      <c r="I282" s="5" t="str">
        <f>+WORLDCUP!BD62</f>
        <v>Curaçao</v>
      </c>
      <c r="J282" s="5" t="str">
        <f>+WORLDCUP!BD66</f>
        <v>Senegal</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Saudi Arabia</v>
      </c>
      <c r="D283" s="5" t="str">
        <f>+WORLDCUP!BD64</f>
        <v>Egypt</v>
      </c>
      <c r="E283" s="5" t="str">
        <f>+WORLDCUP!BD63</f>
        <v>Japan</v>
      </c>
      <c r="F283" s="5" t="str">
        <f>+WORLDCUP!BD60</f>
        <v>Scotland</v>
      </c>
      <c r="G283" s="5" t="str">
        <f>+WORLDCUP!BD58</f>
        <v>Mexico</v>
      </c>
      <c r="H283" s="5" t="str">
        <f>+WORLDCUP!BD61</f>
        <v>Paraguay</v>
      </c>
      <c r="I283" s="5" t="str">
        <f>+WORLDCUP!BD69</f>
        <v>Ghana</v>
      </c>
      <c r="J283" s="5" t="str">
        <f>+WORLDCUP!BD62</f>
        <v>Curaçao</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Saudi Arabia</v>
      </c>
      <c r="D284" s="5" t="str">
        <f>+WORLDCUP!BD64</f>
        <v>Egypt</v>
      </c>
      <c r="E284" s="5" t="str">
        <f>+WORLDCUP!BD62</f>
        <v>Curaçao</v>
      </c>
      <c r="F284" s="5" t="str">
        <f>+WORLDCUP!BD60</f>
        <v>Scotland</v>
      </c>
      <c r="G284" s="5" t="str">
        <f>+WORLDCUP!BD58</f>
        <v>Mexico</v>
      </c>
      <c r="H284" s="5" t="str">
        <f>+WORLDCUP!BD63</f>
        <v>Japan</v>
      </c>
      <c r="I284" s="5" t="str">
        <f>+WORLDCUP!BD61</f>
        <v>Paraguay</v>
      </c>
      <c r="J284" s="5" t="str">
        <f>+WORLDCUP!BD68</f>
        <v>DR Congo</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Saudi Arabia</v>
      </c>
      <c r="D285" s="5" t="str">
        <f>+WORLDCUP!BD64</f>
        <v>Egypt</v>
      </c>
      <c r="E285" s="5" t="str">
        <f>+WORLDCUP!BD67</f>
        <v>Jordan</v>
      </c>
      <c r="F285" s="5" t="str">
        <f>+WORLDCUP!BD60</f>
        <v>Scotland</v>
      </c>
      <c r="G285" s="5" t="str">
        <f>+WORLDCUP!BD58</f>
        <v>Mexico</v>
      </c>
      <c r="H285" s="5" t="str">
        <f>+WORLDCUP!BD63</f>
        <v>Japan</v>
      </c>
      <c r="I285" s="5" t="str">
        <f>+WORLDCUP!BD61</f>
        <v>Paraguay</v>
      </c>
      <c r="J285" s="5" t="str">
        <f>+WORLDCUP!BD62</f>
        <v>Curaçao</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Saudi Arabia</v>
      </c>
      <c r="D286" s="5" t="str">
        <f>+WORLDCUP!BD64</f>
        <v>Egypt</v>
      </c>
      <c r="E286" s="5" t="str">
        <f>+WORLDCUP!BD62</f>
        <v>Curaçao</v>
      </c>
      <c r="F286" s="5" t="str">
        <f>+WORLDCUP!BD60</f>
        <v>Scotland</v>
      </c>
      <c r="G286" s="5" t="str">
        <f>+WORLDCUP!BD58</f>
        <v>Mexico</v>
      </c>
      <c r="H286" s="5" t="str">
        <f>+WORLDCUP!BD63</f>
        <v>Japan</v>
      </c>
      <c r="I286" s="5" t="str">
        <f>+WORLDCUP!BD61</f>
        <v>Paraguay</v>
      </c>
      <c r="J286" s="5" t="str">
        <f>+WORLDCUP!BD66</f>
        <v>Senegal</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Saudi Arabia</v>
      </c>
      <c r="D287" s="5" t="str">
        <f>+WORLDCUP!BD67</f>
        <v>Jordan</v>
      </c>
      <c r="E287" s="5" t="str">
        <f>+WORLDCUP!BD59</f>
        <v>Bosnia and Herzegovina</v>
      </c>
      <c r="F287" s="5" t="str">
        <f>+WORLDCUP!BD58</f>
        <v>Mexico</v>
      </c>
      <c r="G287" s="5" t="str">
        <f>+WORLDCUP!BD66</f>
        <v>Senegal</v>
      </c>
      <c r="H287" s="5" t="str">
        <f>+WORLDCUP!BD64</f>
        <v>Egypt</v>
      </c>
      <c r="I287" s="5" t="str">
        <f>+WORLDCUP!BD69</f>
        <v>Ghana</v>
      </c>
      <c r="J287" s="5" t="str">
        <f>+WORLDCUP!BD68</f>
        <v>DR Congo</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Saudi Arabia</v>
      </c>
      <c r="D288" s="5" t="str">
        <f>+WORLDCUP!BD67</f>
        <v>Jordan</v>
      </c>
      <c r="E288" s="5" t="str">
        <f>+WORLDCUP!BD59</f>
        <v>Bosnia and Herzegovina</v>
      </c>
      <c r="F288" s="5" t="str">
        <f>+WORLDCUP!BD58</f>
        <v>Mexico</v>
      </c>
      <c r="G288" s="5" t="str">
        <f>+WORLDCUP!BD66</f>
        <v>Senegal</v>
      </c>
      <c r="H288" s="5" t="str">
        <f>+WORLDCUP!BD63</f>
        <v>Japan</v>
      </c>
      <c r="I288" s="5" t="str">
        <f>+WORLDCUP!BD69</f>
        <v>Ghana</v>
      </c>
      <c r="J288" s="5" t="str">
        <f>+WORLDCUP!BD68</f>
        <v>DR Congo</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Senegal</v>
      </c>
      <c r="D289" s="5" t="str">
        <f>+WORLDCUP!BD67</f>
        <v>Jordan</v>
      </c>
      <c r="E289" s="5" t="str">
        <f>+WORLDCUP!BD59</f>
        <v>Bosnia and Herzegovina</v>
      </c>
      <c r="F289" s="5" t="str">
        <f>+WORLDCUP!BD63</f>
        <v>Japan</v>
      </c>
      <c r="G289" s="5" t="str">
        <f>+WORLDCUP!BD58</f>
        <v>Mexico</v>
      </c>
      <c r="H289" s="5" t="str">
        <f>+WORLDCUP!BD64</f>
        <v>Egypt</v>
      </c>
      <c r="I289" s="5" t="str">
        <f>+WORLDCUP!BD69</f>
        <v>Ghana</v>
      </c>
      <c r="J289" s="5" t="str">
        <f>+WORLDCUP!BD68</f>
        <v>DR Congo</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Saudi Arabia</v>
      </c>
      <c r="D290" s="5" t="str">
        <f>+WORLDCUP!BD67</f>
        <v>Jordan</v>
      </c>
      <c r="E290" s="5" t="str">
        <f>+WORLDCUP!BD59</f>
        <v>Bosnia and Herzegovina</v>
      </c>
      <c r="F290" s="5" t="str">
        <f>+WORLDCUP!BD63</f>
        <v>Japan</v>
      </c>
      <c r="G290" s="5" t="str">
        <f>+WORLDCUP!BD58</f>
        <v>Mexico</v>
      </c>
      <c r="H290" s="5" t="str">
        <f>+WORLDCUP!BD64</f>
        <v>Egypt</v>
      </c>
      <c r="I290" s="5" t="str">
        <f>+WORLDCUP!BD69</f>
        <v>Ghana</v>
      </c>
      <c r="J290" s="5" t="str">
        <f>+WORLDCUP!BD68</f>
        <v>DR Congo</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Saudi Arabia</v>
      </c>
      <c r="D291" s="5" t="str">
        <f>+WORLDCUP!BD64</f>
        <v>Egypt</v>
      </c>
      <c r="E291" s="5" t="str">
        <f>+WORLDCUP!BD59</f>
        <v>Bosnia and Herzegovina</v>
      </c>
      <c r="F291" s="5" t="str">
        <f>+WORLDCUP!BD58</f>
        <v>Mexico</v>
      </c>
      <c r="G291" s="5" t="str">
        <f>+WORLDCUP!BD66</f>
        <v>Senegal</v>
      </c>
      <c r="H291" s="5" t="str">
        <f>+WORLDCUP!BD63</f>
        <v>Japan</v>
      </c>
      <c r="I291" s="5" t="str">
        <f>+WORLDCUP!BD69</f>
        <v>Ghana</v>
      </c>
      <c r="J291" s="5" t="str">
        <f>+WORLDCUP!BD68</f>
        <v>DR Congo</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Saudi Arabia</v>
      </c>
      <c r="D292" s="5" t="str">
        <f>+WORLDCUP!BD67</f>
        <v>Jordan</v>
      </c>
      <c r="E292" s="5" t="str">
        <f>+WORLDCUP!BD59</f>
        <v>Bosnia and Herzegovina</v>
      </c>
      <c r="F292" s="5" t="str">
        <f>+WORLDCUP!BD63</f>
        <v>Japan</v>
      </c>
      <c r="G292" s="5" t="str">
        <f>+WORLDCUP!BD58</f>
        <v>Mexico</v>
      </c>
      <c r="H292" s="5" t="str">
        <f>+WORLDCUP!BD64</f>
        <v>Egypt</v>
      </c>
      <c r="I292" s="5" t="str">
        <f>+WORLDCUP!BD69</f>
        <v>Ghana</v>
      </c>
      <c r="J292" s="5" t="str">
        <f>+WORLDCUP!BD66</f>
        <v>Senegal</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Saudi Arabia</v>
      </c>
      <c r="D293" s="5" t="str">
        <f>+WORLDCUP!BD67</f>
        <v>Jordan</v>
      </c>
      <c r="E293" s="5" t="str">
        <f>+WORLDCUP!BD59</f>
        <v>Bosnia and Herzegovina</v>
      </c>
      <c r="F293" s="5" t="str">
        <f>+WORLDCUP!BD63</f>
        <v>Japan</v>
      </c>
      <c r="G293" s="5" t="str">
        <f>+WORLDCUP!BD58</f>
        <v>Mexico</v>
      </c>
      <c r="H293" s="5" t="str">
        <f>+WORLDCUP!BD64</f>
        <v>Egypt</v>
      </c>
      <c r="I293" s="5" t="str">
        <f>+WORLDCUP!BD66</f>
        <v>Senegal</v>
      </c>
      <c r="J293" s="5" t="str">
        <f>+WORLDCUP!BD68</f>
        <v>DR Congo</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Curaçao</v>
      </c>
      <c r="D294" s="5" t="str">
        <f>+WORLDCUP!BD67</f>
        <v>Jordan</v>
      </c>
      <c r="E294" s="5" t="str">
        <f>+WORLDCUP!BD59</f>
        <v>Bosnia and Herzegovina</v>
      </c>
      <c r="F294" s="5" t="str">
        <f>+WORLDCUP!BD58</f>
        <v>Mexico</v>
      </c>
      <c r="G294" s="5" t="str">
        <f>+WORLDCUP!BD66</f>
        <v>Senegal</v>
      </c>
      <c r="H294" s="5" t="str">
        <f>+WORLDCUP!BD65</f>
        <v>Saudi Arabia</v>
      </c>
      <c r="I294" s="5" t="str">
        <f>+WORLDCUP!BD69</f>
        <v>Ghana</v>
      </c>
      <c r="J294" s="5" t="str">
        <f>+WORLDCUP!BD68</f>
        <v>DR Congo</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Curaçao</v>
      </c>
      <c r="D295" s="5" t="str">
        <f>+WORLDCUP!BD67</f>
        <v>Jordan</v>
      </c>
      <c r="E295" s="5" t="str">
        <f>+WORLDCUP!BD59</f>
        <v>Bosnia and Herzegovina</v>
      </c>
      <c r="F295" s="5" t="str">
        <f>+WORLDCUP!BD58</f>
        <v>Mexico</v>
      </c>
      <c r="G295" s="5" t="str">
        <f>+WORLDCUP!BD66</f>
        <v>Senegal</v>
      </c>
      <c r="H295" s="5" t="str">
        <f>+WORLDCUP!BD64</f>
        <v>Egypt</v>
      </c>
      <c r="I295" s="5" t="str">
        <f>+WORLDCUP!BD69</f>
        <v>Ghana</v>
      </c>
      <c r="J295" s="5" t="str">
        <f>+WORLDCUP!BD68</f>
        <v>DR Congo</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Curaçao</v>
      </c>
      <c r="D296" s="5" t="str">
        <f>+WORLDCUP!BD67</f>
        <v>Jordan</v>
      </c>
      <c r="E296" s="5" t="str">
        <f>+WORLDCUP!BD59</f>
        <v>Bosnia and Herzegovina</v>
      </c>
      <c r="F296" s="5" t="str">
        <f>+WORLDCUP!BD58</f>
        <v>Mexico</v>
      </c>
      <c r="G296" s="5" t="str">
        <f>+WORLDCUP!BD65</f>
        <v>Saudi Arabia</v>
      </c>
      <c r="H296" s="5" t="str">
        <f>+WORLDCUP!BD64</f>
        <v>Egypt</v>
      </c>
      <c r="I296" s="5" t="str">
        <f>+WORLDCUP!BD69</f>
        <v>Ghana</v>
      </c>
      <c r="J296" s="5" t="str">
        <f>+WORLDCUP!BD68</f>
        <v>DR Congo</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Curaçao</v>
      </c>
      <c r="D297" s="5" t="str">
        <f>+WORLDCUP!BD64</f>
        <v>Egypt</v>
      </c>
      <c r="E297" s="5" t="str">
        <f>+WORLDCUP!BD59</f>
        <v>Bosnia and Herzegovina</v>
      </c>
      <c r="F297" s="5" t="str">
        <f>+WORLDCUP!BD58</f>
        <v>Mexico</v>
      </c>
      <c r="G297" s="5" t="str">
        <f>+WORLDCUP!BD66</f>
        <v>Senegal</v>
      </c>
      <c r="H297" s="5" t="str">
        <f>+WORLDCUP!BD65</f>
        <v>Saudi Arabia</v>
      </c>
      <c r="I297" s="5" t="str">
        <f>+WORLDCUP!BD69</f>
        <v>Ghana</v>
      </c>
      <c r="J297" s="5" t="str">
        <f>+WORLDCUP!BD68</f>
        <v>DR Congo</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Curaçao</v>
      </c>
      <c r="D298" s="5" t="str">
        <f>+WORLDCUP!BD67</f>
        <v>Jordan</v>
      </c>
      <c r="E298" s="5" t="str">
        <f>+WORLDCUP!BD59</f>
        <v>Bosnia and Herzegovina</v>
      </c>
      <c r="F298" s="5" t="str">
        <f>+WORLDCUP!BD58</f>
        <v>Mexico</v>
      </c>
      <c r="G298" s="5" t="str">
        <f>+WORLDCUP!BD65</f>
        <v>Saudi Arabia</v>
      </c>
      <c r="H298" s="5" t="str">
        <f>+WORLDCUP!BD64</f>
        <v>Egypt</v>
      </c>
      <c r="I298" s="5" t="str">
        <f>+WORLDCUP!BD69</f>
        <v>Ghana</v>
      </c>
      <c r="J298" s="5" t="str">
        <f>+WORLDCUP!BD66</f>
        <v>Senegal</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Curaçao</v>
      </c>
      <c r="D299" s="5" t="str">
        <f>+WORLDCUP!BD67</f>
        <v>Jordan</v>
      </c>
      <c r="E299" s="5" t="str">
        <f>+WORLDCUP!BD59</f>
        <v>Bosnia and Herzegovina</v>
      </c>
      <c r="F299" s="5" t="str">
        <f>+WORLDCUP!BD58</f>
        <v>Mexico</v>
      </c>
      <c r="G299" s="5" t="str">
        <f>+WORLDCUP!BD65</f>
        <v>Saudi Arabia</v>
      </c>
      <c r="H299" s="5" t="str">
        <f>+WORLDCUP!BD64</f>
        <v>Egypt</v>
      </c>
      <c r="I299" s="5" t="str">
        <f>+WORLDCUP!BD66</f>
        <v>Senegal</v>
      </c>
      <c r="J299" s="5" t="str">
        <f>+WORLDCUP!BD68</f>
        <v>DR Congo</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Curaçao</v>
      </c>
      <c r="D300" s="5" t="str">
        <f>+WORLDCUP!BD67</f>
        <v>Jordan</v>
      </c>
      <c r="E300" s="5" t="str">
        <f>+WORLDCUP!BD59</f>
        <v>Bosnia and Herzegovina</v>
      </c>
      <c r="F300" s="5" t="str">
        <f>+WORLDCUP!BD58</f>
        <v>Mexico</v>
      </c>
      <c r="G300" s="5" t="str">
        <f>+WORLDCUP!BD66</f>
        <v>Senegal</v>
      </c>
      <c r="H300" s="5" t="str">
        <f>+WORLDCUP!BD63</f>
        <v>Japan</v>
      </c>
      <c r="I300" s="5" t="str">
        <f>+WORLDCUP!BD69</f>
        <v>Ghana</v>
      </c>
      <c r="J300" s="5" t="str">
        <f>+WORLDCUP!BD68</f>
        <v>DR Congo</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Curaçao</v>
      </c>
      <c r="D301" s="5" t="str">
        <f>+WORLDCUP!BD67</f>
        <v>Jordan</v>
      </c>
      <c r="E301" s="5" t="str">
        <f>+WORLDCUP!BD59</f>
        <v>Bosnia and Herzegovina</v>
      </c>
      <c r="F301" s="5" t="str">
        <f>+WORLDCUP!BD63</f>
        <v>Japan</v>
      </c>
      <c r="G301" s="5" t="str">
        <f>+WORLDCUP!BD58</f>
        <v>Mexico</v>
      </c>
      <c r="H301" s="5" t="str">
        <f>+WORLDCUP!BD65</f>
        <v>Saudi Arabia</v>
      </c>
      <c r="I301" s="5" t="str">
        <f>+WORLDCUP!BD69</f>
        <v>Ghana</v>
      </c>
      <c r="J301" s="5" t="str">
        <f>+WORLDCUP!BD68</f>
        <v>DR Congo</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Curaçao</v>
      </c>
      <c r="D302" s="5" t="str">
        <f>+WORLDCUP!BD66</f>
        <v>Senegal</v>
      </c>
      <c r="E302" s="5" t="str">
        <f>+WORLDCUP!BD59</f>
        <v>Bosnia and Herzegovina</v>
      </c>
      <c r="F302" s="5" t="str">
        <f>+WORLDCUP!BD63</f>
        <v>Japan</v>
      </c>
      <c r="G302" s="5" t="str">
        <f>+WORLDCUP!BD58</f>
        <v>Mexico</v>
      </c>
      <c r="H302" s="5" t="str">
        <f>+WORLDCUP!BD65</f>
        <v>Saudi Arabia</v>
      </c>
      <c r="I302" s="5" t="str">
        <f>+WORLDCUP!BD69</f>
        <v>Ghana</v>
      </c>
      <c r="J302" s="5" t="str">
        <f>+WORLDCUP!BD68</f>
        <v>DR Congo</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Curaçao</v>
      </c>
      <c r="D303" s="5" t="str">
        <f>+WORLDCUP!BD67</f>
        <v>Jordan</v>
      </c>
      <c r="E303" s="5" t="str">
        <f>+WORLDCUP!BD59</f>
        <v>Bosnia and Herzegovina</v>
      </c>
      <c r="F303" s="5" t="str">
        <f>+WORLDCUP!BD63</f>
        <v>Japan</v>
      </c>
      <c r="G303" s="5" t="str">
        <f>+WORLDCUP!BD58</f>
        <v>Mexico</v>
      </c>
      <c r="H303" s="5" t="str">
        <f>+WORLDCUP!BD65</f>
        <v>Saudi Arabia</v>
      </c>
      <c r="I303" s="5" t="str">
        <f>+WORLDCUP!BD69</f>
        <v>Ghana</v>
      </c>
      <c r="J303" s="5" t="str">
        <f>+WORLDCUP!BD66</f>
        <v>Senegal</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Curaçao</v>
      </c>
      <c r="D304" s="5" t="str">
        <f>+WORLDCUP!BD67</f>
        <v>Jordan</v>
      </c>
      <c r="E304" s="5" t="str">
        <f>+WORLDCUP!BD59</f>
        <v>Bosnia and Herzegovina</v>
      </c>
      <c r="F304" s="5" t="str">
        <f>+WORLDCUP!BD63</f>
        <v>Japan</v>
      </c>
      <c r="G304" s="5" t="str">
        <f>+WORLDCUP!BD58</f>
        <v>Mexico</v>
      </c>
      <c r="H304" s="5" t="str">
        <f>+WORLDCUP!BD65</f>
        <v>Saudi Arabia</v>
      </c>
      <c r="I304" s="5" t="str">
        <f>+WORLDCUP!BD66</f>
        <v>Senegal</v>
      </c>
      <c r="J304" s="5" t="str">
        <f>+WORLDCUP!BD68</f>
        <v>DR Congo</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Curaçao</v>
      </c>
      <c r="D305" s="5" t="str">
        <f>+WORLDCUP!BD67</f>
        <v>Jordan</v>
      </c>
      <c r="E305" s="5" t="str">
        <f>+WORLDCUP!BD59</f>
        <v>Bosnia and Herzegovina</v>
      </c>
      <c r="F305" s="5" t="str">
        <f>+WORLDCUP!BD63</f>
        <v>Japan</v>
      </c>
      <c r="G305" s="5" t="str">
        <f>+WORLDCUP!BD58</f>
        <v>Mexico</v>
      </c>
      <c r="H305" s="5" t="str">
        <f>+WORLDCUP!BD64</f>
        <v>Egypt</v>
      </c>
      <c r="I305" s="5" t="str">
        <f>+WORLDCUP!BD69</f>
        <v>Ghana</v>
      </c>
      <c r="J305" s="5" t="str">
        <f>+WORLDCUP!BD68</f>
        <v>DR Congo</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Curaçao</v>
      </c>
      <c r="D306" s="5" t="str">
        <f>+WORLDCUP!BD64</f>
        <v>Egypt</v>
      </c>
      <c r="E306" s="5" t="str">
        <f>+WORLDCUP!BD59</f>
        <v>Bosnia and Herzegovina</v>
      </c>
      <c r="F306" s="5" t="str">
        <f>+WORLDCUP!BD58</f>
        <v>Mexico</v>
      </c>
      <c r="G306" s="5" t="str">
        <f>+WORLDCUP!BD66</f>
        <v>Senegal</v>
      </c>
      <c r="H306" s="5" t="str">
        <f>+WORLDCUP!BD63</f>
        <v>Japan</v>
      </c>
      <c r="I306" s="5" t="str">
        <f>+WORLDCUP!BD69</f>
        <v>Ghana</v>
      </c>
      <c r="J306" s="5" t="str">
        <f>+WORLDCUP!BD68</f>
        <v>DR Congo</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Curaçao</v>
      </c>
      <c r="D307" s="5" t="str">
        <f>+WORLDCUP!BD67</f>
        <v>Jordan</v>
      </c>
      <c r="E307" s="5" t="str">
        <f>+WORLDCUP!BD59</f>
        <v>Bosnia and Herzegovina</v>
      </c>
      <c r="F307" s="5" t="str">
        <f>+WORLDCUP!BD63</f>
        <v>Japan</v>
      </c>
      <c r="G307" s="5" t="str">
        <f>+WORLDCUP!BD58</f>
        <v>Mexico</v>
      </c>
      <c r="H307" s="5" t="str">
        <f>+WORLDCUP!BD64</f>
        <v>Egypt</v>
      </c>
      <c r="I307" s="5" t="str">
        <f>+WORLDCUP!BD69</f>
        <v>Ghana</v>
      </c>
      <c r="J307" s="5" t="str">
        <f>+WORLDCUP!BD66</f>
        <v>Senegal</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Curaçao</v>
      </c>
      <c r="D308" s="5" t="str">
        <f>+WORLDCUP!BD67</f>
        <v>Jordan</v>
      </c>
      <c r="E308" s="5" t="str">
        <f>+WORLDCUP!BD59</f>
        <v>Bosnia and Herzegovina</v>
      </c>
      <c r="F308" s="5" t="str">
        <f>+WORLDCUP!BD63</f>
        <v>Japan</v>
      </c>
      <c r="G308" s="5" t="str">
        <f>+WORLDCUP!BD58</f>
        <v>Mexico</v>
      </c>
      <c r="H308" s="5" t="str">
        <f>+WORLDCUP!BD64</f>
        <v>Egypt</v>
      </c>
      <c r="I308" s="5" t="str">
        <f>+WORLDCUP!BD66</f>
        <v>Senegal</v>
      </c>
      <c r="J308" s="5" t="str">
        <f>+WORLDCUP!BD68</f>
        <v>DR Congo</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Curaçao</v>
      </c>
      <c r="D309" s="5" t="str">
        <f>+WORLDCUP!BD64</f>
        <v>Egypt</v>
      </c>
      <c r="E309" s="5" t="str">
        <f>+WORLDCUP!BD59</f>
        <v>Bosnia and Herzegovina</v>
      </c>
      <c r="F309" s="5" t="str">
        <f>+WORLDCUP!BD63</f>
        <v>Japan</v>
      </c>
      <c r="G309" s="5" t="str">
        <f>+WORLDCUP!BD58</f>
        <v>Mexico</v>
      </c>
      <c r="H309" s="5" t="str">
        <f>+WORLDCUP!BD65</f>
        <v>Saudi Arabia</v>
      </c>
      <c r="I309" s="5" t="str">
        <f>+WORLDCUP!BD69</f>
        <v>Ghana</v>
      </c>
      <c r="J309" s="5" t="str">
        <f>+WORLDCUP!BD68</f>
        <v>DR Congo</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Saudi Arabia</v>
      </c>
      <c r="D310" s="5" t="str">
        <f>+WORLDCUP!BD67</f>
        <v>Jordan</v>
      </c>
      <c r="E310" s="5" t="str">
        <f>+WORLDCUP!BD59</f>
        <v>Bosnia and Herzegovina</v>
      </c>
      <c r="F310" s="5" t="str">
        <f>+WORLDCUP!BD63</f>
        <v>Japan</v>
      </c>
      <c r="G310" s="5" t="str">
        <f>+WORLDCUP!BD58</f>
        <v>Mexico</v>
      </c>
      <c r="H310" s="5" t="str">
        <f>+WORLDCUP!BD64</f>
        <v>Egypt</v>
      </c>
      <c r="I310" s="5" t="str">
        <f>+WORLDCUP!BD69</f>
        <v>Ghana</v>
      </c>
      <c r="J310" s="5" t="str">
        <f>+WORLDCUP!BD62</f>
        <v>Curaçao</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Saudi Arabia</v>
      </c>
      <c r="D311" s="5" t="str">
        <f>+WORLDCUP!BD67</f>
        <v>Jordan</v>
      </c>
      <c r="E311" s="5" t="str">
        <f>+WORLDCUP!BD59</f>
        <v>Bosnia and Herzegovina</v>
      </c>
      <c r="F311" s="5" t="str">
        <f>+WORLDCUP!BD63</f>
        <v>Japan</v>
      </c>
      <c r="G311" s="5" t="str">
        <f>+WORLDCUP!BD58</f>
        <v>Mexico</v>
      </c>
      <c r="H311" s="5" t="str">
        <f>+WORLDCUP!BD64</f>
        <v>Egypt</v>
      </c>
      <c r="I311" s="5" t="str">
        <f>+WORLDCUP!BD62</f>
        <v>Curaçao</v>
      </c>
      <c r="J311" s="5" t="str">
        <f>+WORLDCUP!BD68</f>
        <v>DR Congo</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Curaçao</v>
      </c>
      <c r="D312" s="5" t="str">
        <f>+WORLDCUP!BD64</f>
        <v>Egypt</v>
      </c>
      <c r="E312" s="5" t="str">
        <f>+WORLDCUP!BD59</f>
        <v>Bosnia and Herzegovina</v>
      </c>
      <c r="F312" s="5" t="str">
        <f>+WORLDCUP!BD63</f>
        <v>Japan</v>
      </c>
      <c r="G312" s="5" t="str">
        <f>+WORLDCUP!BD58</f>
        <v>Mexico</v>
      </c>
      <c r="H312" s="5" t="str">
        <f>+WORLDCUP!BD65</f>
        <v>Saudi Arabia</v>
      </c>
      <c r="I312" s="5" t="str">
        <f>+WORLDCUP!BD69</f>
        <v>Ghana</v>
      </c>
      <c r="J312" s="5" t="str">
        <f>+WORLDCUP!BD66</f>
        <v>Senegal</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Curaçao</v>
      </c>
      <c r="D313" s="5" t="str">
        <f>+WORLDCUP!BD64</f>
        <v>Egypt</v>
      </c>
      <c r="E313" s="5" t="str">
        <f>+WORLDCUP!BD59</f>
        <v>Bosnia and Herzegovina</v>
      </c>
      <c r="F313" s="5" t="str">
        <f>+WORLDCUP!BD63</f>
        <v>Japan</v>
      </c>
      <c r="G313" s="5" t="str">
        <f>+WORLDCUP!BD58</f>
        <v>Mexico</v>
      </c>
      <c r="H313" s="5" t="str">
        <f>+WORLDCUP!BD65</f>
        <v>Saudi Arabia</v>
      </c>
      <c r="I313" s="5" t="str">
        <f>+WORLDCUP!BD66</f>
        <v>Senegal</v>
      </c>
      <c r="J313" s="5" t="str">
        <f>+WORLDCUP!BD68</f>
        <v>DR Congo</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Saudi Arabia</v>
      </c>
      <c r="D314" s="5" t="str">
        <f>+WORLDCUP!BD67</f>
        <v>Jordan</v>
      </c>
      <c r="E314" s="5" t="str">
        <f>+WORLDCUP!BD59</f>
        <v>Bosnia and Herzegovina</v>
      </c>
      <c r="F314" s="5" t="str">
        <f>+WORLDCUP!BD63</f>
        <v>Japan</v>
      </c>
      <c r="G314" s="5" t="str">
        <f>+WORLDCUP!BD58</f>
        <v>Mexico</v>
      </c>
      <c r="H314" s="5" t="str">
        <f>+WORLDCUP!BD64</f>
        <v>Egypt</v>
      </c>
      <c r="I314" s="5" t="str">
        <f>+WORLDCUP!BD62</f>
        <v>Curaçao</v>
      </c>
      <c r="J314" s="5" t="str">
        <f>+WORLDCUP!BD66</f>
        <v>Senegal</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Senegal</v>
      </c>
      <c r="D315" s="5" t="str">
        <f>+WORLDCUP!BD67</f>
        <v>Jordan</v>
      </c>
      <c r="E315" s="5" t="str">
        <f>+WORLDCUP!BD59</f>
        <v>Bosnia and Herzegovina</v>
      </c>
      <c r="F315" s="5" t="str">
        <f>+WORLDCUP!BD61</f>
        <v>Paraguay</v>
      </c>
      <c r="G315" s="5" t="str">
        <f>+WORLDCUP!BD58</f>
        <v>Mexico</v>
      </c>
      <c r="H315" s="5" t="str">
        <f>+WORLDCUP!BD65</f>
        <v>Saudi Arabia</v>
      </c>
      <c r="I315" s="5" t="str">
        <f>+WORLDCUP!BD69</f>
        <v>Ghana</v>
      </c>
      <c r="J315" s="5" t="str">
        <f>+WORLDCUP!BD68</f>
        <v>DR Congo</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Senegal</v>
      </c>
      <c r="D316" s="5" t="str">
        <f>+WORLDCUP!BD67</f>
        <v>Jordan</v>
      </c>
      <c r="E316" s="5" t="str">
        <f>+WORLDCUP!BD59</f>
        <v>Bosnia and Herzegovina</v>
      </c>
      <c r="F316" s="5" t="str">
        <f>+WORLDCUP!BD61</f>
        <v>Paraguay</v>
      </c>
      <c r="G316" s="5" t="str">
        <f>+WORLDCUP!BD58</f>
        <v>Mexico</v>
      </c>
      <c r="H316" s="5" t="str">
        <f>+WORLDCUP!BD64</f>
        <v>Egypt</v>
      </c>
      <c r="I316" s="5" t="str">
        <f>+WORLDCUP!BD69</f>
        <v>Ghana</v>
      </c>
      <c r="J316" s="5" t="str">
        <f>+WORLDCUP!BD68</f>
        <v>DR Congo</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Saudi Arabia</v>
      </c>
      <c r="D317" s="5" t="str">
        <f>+WORLDCUP!BD67</f>
        <v>Jordan</v>
      </c>
      <c r="E317" s="5" t="str">
        <f>+WORLDCUP!BD59</f>
        <v>Bosnia and Herzegovina</v>
      </c>
      <c r="F317" s="5" t="str">
        <f>+WORLDCUP!BD61</f>
        <v>Paraguay</v>
      </c>
      <c r="G317" s="5" t="str">
        <f>+WORLDCUP!BD58</f>
        <v>Mexico</v>
      </c>
      <c r="H317" s="5" t="str">
        <f>+WORLDCUP!BD64</f>
        <v>Egypt</v>
      </c>
      <c r="I317" s="5" t="str">
        <f>+WORLDCUP!BD69</f>
        <v>Ghana</v>
      </c>
      <c r="J317" s="5" t="str">
        <f>+WORLDCUP!BD68</f>
        <v>DR Congo</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Senegal</v>
      </c>
      <c r="D318" s="5" t="str">
        <f>+WORLDCUP!BD64</f>
        <v>Egypt</v>
      </c>
      <c r="E318" s="5" t="str">
        <f>+WORLDCUP!BD59</f>
        <v>Bosnia and Herzegovina</v>
      </c>
      <c r="F318" s="5" t="str">
        <f>+WORLDCUP!BD61</f>
        <v>Paraguay</v>
      </c>
      <c r="G318" s="5" t="str">
        <f>+WORLDCUP!BD58</f>
        <v>Mexico</v>
      </c>
      <c r="H318" s="5" t="str">
        <f>+WORLDCUP!BD65</f>
        <v>Saudi Arabia</v>
      </c>
      <c r="I318" s="5" t="str">
        <f>+WORLDCUP!BD69</f>
        <v>Ghana</v>
      </c>
      <c r="J318" s="5" t="str">
        <f>+WORLDCUP!BD68</f>
        <v>DR Congo</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Saudi Arabia</v>
      </c>
      <c r="D319" s="5" t="str">
        <f>+WORLDCUP!BD67</f>
        <v>Jordan</v>
      </c>
      <c r="E319" s="5" t="str">
        <f>+WORLDCUP!BD59</f>
        <v>Bosnia and Herzegovina</v>
      </c>
      <c r="F319" s="5" t="str">
        <f>+WORLDCUP!BD61</f>
        <v>Paraguay</v>
      </c>
      <c r="G319" s="5" t="str">
        <f>+WORLDCUP!BD58</f>
        <v>Mexico</v>
      </c>
      <c r="H319" s="5" t="str">
        <f>+WORLDCUP!BD64</f>
        <v>Egypt</v>
      </c>
      <c r="I319" s="5" t="str">
        <f>+WORLDCUP!BD69</f>
        <v>Ghana</v>
      </c>
      <c r="J319" s="5" t="str">
        <f>+WORLDCUP!BD66</f>
        <v>Senegal</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Saudi Arabia</v>
      </c>
      <c r="D320" s="5" t="str">
        <f>+WORLDCUP!BD67</f>
        <v>Jordan</v>
      </c>
      <c r="E320" s="5" t="str">
        <f>+WORLDCUP!BD59</f>
        <v>Bosnia and Herzegovina</v>
      </c>
      <c r="F320" s="5" t="str">
        <f>+WORLDCUP!BD61</f>
        <v>Paraguay</v>
      </c>
      <c r="G320" s="5" t="str">
        <f>+WORLDCUP!BD58</f>
        <v>Mexico</v>
      </c>
      <c r="H320" s="5" t="str">
        <f>+WORLDCUP!BD64</f>
        <v>Egypt</v>
      </c>
      <c r="I320" s="5" t="str">
        <f>+WORLDCUP!BD66</f>
        <v>Senegal</v>
      </c>
      <c r="J320" s="5" t="str">
        <f>+WORLDCUP!BD68</f>
        <v>DR Congo</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Senegal</v>
      </c>
      <c r="D321" s="5" t="str">
        <f>+WORLDCUP!BD67</f>
        <v>Jordan</v>
      </c>
      <c r="E321" s="5" t="str">
        <f>+WORLDCUP!BD59</f>
        <v>Bosnia and Herzegovina</v>
      </c>
      <c r="F321" s="5" t="str">
        <f>+WORLDCUP!BD61</f>
        <v>Paraguay</v>
      </c>
      <c r="G321" s="5" t="str">
        <f>+WORLDCUP!BD58</f>
        <v>Mexico</v>
      </c>
      <c r="H321" s="5" t="str">
        <f>+WORLDCUP!BD63</f>
        <v>Japan</v>
      </c>
      <c r="I321" s="5" t="str">
        <f>+WORLDCUP!BD69</f>
        <v>Ghana</v>
      </c>
      <c r="J321" s="5" t="str">
        <f>+WORLDCUP!BD68</f>
        <v>DR Congo</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Saudi Arabia</v>
      </c>
      <c r="D322" s="5" t="str">
        <f>+WORLDCUP!BD67</f>
        <v>Jordan</v>
      </c>
      <c r="E322" s="5" t="str">
        <f>+WORLDCUP!BD59</f>
        <v>Bosnia and Herzegovina</v>
      </c>
      <c r="F322" s="5" t="str">
        <f>+WORLDCUP!BD61</f>
        <v>Paraguay</v>
      </c>
      <c r="G322" s="5" t="str">
        <f>+WORLDCUP!BD58</f>
        <v>Mexico</v>
      </c>
      <c r="H322" s="5" t="str">
        <f>+WORLDCUP!BD63</f>
        <v>Japan</v>
      </c>
      <c r="I322" s="5" t="str">
        <f>+WORLDCUP!BD69</f>
        <v>Ghana</v>
      </c>
      <c r="J322" s="5" t="str">
        <f>+WORLDCUP!BD68</f>
        <v>DR Congo</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Saudi Arabia</v>
      </c>
      <c r="D323" s="5" t="str">
        <f>+WORLDCUP!BD66</f>
        <v>Senegal</v>
      </c>
      <c r="E323" s="5" t="str">
        <f>+WORLDCUP!BD59</f>
        <v>Bosnia and Herzegovina</v>
      </c>
      <c r="F323" s="5" t="str">
        <f>+WORLDCUP!BD61</f>
        <v>Paraguay</v>
      </c>
      <c r="G323" s="5" t="str">
        <f>+WORLDCUP!BD58</f>
        <v>Mexico</v>
      </c>
      <c r="H323" s="5" t="str">
        <f>+WORLDCUP!BD63</f>
        <v>Japan</v>
      </c>
      <c r="I323" s="5" t="str">
        <f>+WORLDCUP!BD69</f>
        <v>Ghana</v>
      </c>
      <c r="J323" s="5" t="str">
        <f>+WORLDCUP!BD68</f>
        <v>DR Congo</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Saudi Arabia</v>
      </c>
      <c r="D324" s="5" t="str">
        <f>+WORLDCUP!BD67</f>
        <v>Jordan</v>
      </c>
      <c r="E324" s="5" t="str">
        <f>+WORLDCUP!BD59</f>
        <v>Bosnia and Herzegovina</v>
      </c>
      <c r="F324" s="5" t="str">
        <f>+WORLDCUP!BD61</f>
        <v>Paraguay</v>
      </c>
      <c r="G324" s="5" t="str">
        <f>+WORLDCUP!BD58</f>
        <v>Mexico</v>
      </c>
      <c r="H324" s="5" t="str">
        <f>+WORLDCUP!BD63</f>
        <v>Japan</v>
      </c>
      <c r="I324" s="5" t="str">
        <f>+WORLDCUP!BD69</f>
        <v>Ghana</v>
      </c>
      <c r="J324" s="5" t="str">
        <f>+WORLDCUP!BD66</f>
        <v>Senegal</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Saudi Arabia</v>
      </c>
      <c r="D325" s="5" t="str">
        <f>+WORLDCUP!BD67</f>
        <v>Jordan</v>
      </c>
      <c r="E325" s="5" t="str">
        <f>+WORLDCUP!BD59</f>
        <v>Bosnia and Herzegovina</v>
      </c>
      <c r="F325" s="5" t="str">
        <f>+WORLDCUP!BD61</f>
        <v>Paraguay</v>
      </c>
      <c r="G325" s="5" t="str">
        <f>+WORLDCUP!BD58</f>
        <v>Mexico</v>
      </c>
      <c r="H325" s="5" t="str">
        <f>+WORLDCUP!BD63</f>
        <v>Japan</v>
      </c>
      <c r="I325" s="5" t="str">
        <f>+WORLDCUP!BD66</f>
        <v>Senegal</v>
      </c>
      <c r="J325" s="5" t="str">
        <f>+WORLDCUP!BD68</f>
        <v>DR Congo</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Japan</v>
      </c>
      <c r="D326" s="5" t="str">
        <f>+WORLDCUP!BD67</f>
        <v>Jordan</v>
      </c>
      <c r="E326" s="5" t="str">
        <f>+WORLDCUP!BD59</f>
        <v>Bosnia and Herzegovina</v>
      </c>
      <c r="F326" s="5" t="str">
        <f>+WORLDCUP!BD61</f>
        <v>Paraguay</v>
      </c>
      <c r="G326" s="5" t="str">
        <f>+WORLDCUP!BD58</f>
        <v>Mexico</v>
      </c>
      <c r="H326" s="5" t="str">
        <f>+WORLDCUP!BD64</f>
        <v>Egypt</v>
      </c>
      <c r="I326" s="5" t="str">
        <f>+WORLDCUP!BD69</f>
        <v>Ghana</v>
      </c>
      <c r="J326" s="5" t="str">
        <f>+WORLDCUP!BD68</f>
        <v>DR Congo</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Senegal</v>
      </c>
      <c r="D327" s="5" t="str">
        <f>+WORLDCUP!BD64</f>
        <v>Egypt</v>
      </c>
      <c r="E327" s="5" t="str">
        <f>+WORLDCUP!BD59</f>
        <v>Bosnia and Herzegovina</v>
      </c>
      <c r="F327" s="5" t="str">
        <f>+WORLDCUP!BD61</f>
        <v>Paraguay</v>
      </c>
      <c r="G327" s="5" t="str">
        <f>+WORLDCUP!BD58</f>
        <v>Mexico</v>
      </c>
      <c r="H327" s="5" t="str">
        <f>+WORLDCUP!BD63</f>
        <v>Japan</v>
      </c>
      <c r="I327" s="5" t="str">
        <f>+WORLDCUP!BD69</f>
        <v>Ghana</v>
      </c>
      <c r="J327" s="5" t="str">
        <f>+WORLDCUP!BD68</f>
        <v>DR Congo</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Japan</v>
      </c>
      <c r="D328" s="5" t="str">
        <f>+WORLDCUP!BD67</f>
        <v>Jordan</v>
      </c>
      <c r="E328" s="5" t="str">
        <f>+WORLDCUP!BD59</f>
        <v>Bosnia and Herzegovina</v>
      </c>
      <c r="F328" s="5" t="str">
        <f>+WORLDCUP!BD61</f>
        <v>Paraguay</v>
      </c>
      <c r="G328" s="5" t="str">
        <f>+WORLDCUP!BD58</f>
        <v>Mexico</v>
      </c>
      <c r="H328" s="5" t="str">
        <f>+WORLDCUP!BD64</f>
        <v>Egypt</v>
      </c>
      <c r="I328" s="5" t="str">
        <f>+WORLDCUP!BD69</f>
        <v>Ghana</v>
      </c>
      <c r="J328" s="5" t="str">
        <f>+WORLDCUP!BD66</f>
        <v>Senegal</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Japan</v>
      </c>
      <c r="D329" s="5" t="str">
        <f>+WORLDCUP!BD67</f>
        <v>Jordan</v>
      </c>
      <c r="E329" s="5" t="str">
        <f>+WORLDCUP!BD59</f>
        <v>Bosnia and Herzegovina</v>
      </c>
      <c r="F329" s="5" t="str">
        <f>+WORLDCUP!BD61</f>
        <v>Paraguay</v>
      </c>
      <c r="G329" s="5" t="str">
        <f>+WORLDCUP!BD58</f>
        <v>Mexico</v>
      </c>
      <c r="H329" s="5" t="str">
        <f>+WORLDCUP!BD64</f>
        <v>Egypt</v>
      </c>
      <c r="I329" s="5" t="str">
        <f>+WORLDCUP!BD66</f>
        <v>Senegal</v>
      </c>
      <c r="J329" s="5" t="str">
        <f>+WORLDCUP!BD68</f>
        <v>DR Congo</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Saudi Arabia</v>
      </c>
      <c r="D330" s="5" t="str">
        <f>+WORLDCUP!BD64</f>
        <v>Egypt</v>
      </c>
      <c r="E330" s="5" t="str">
        <f>+WORLDCUP!BD59</f>
        <v>Bosnia and Herzegovina</v>
      </c>
      <c r="F330" s="5" t="str">
        <f>+WORLDCUP!BD61</f>
        <v>Paraguay</v>
      </c>
      <c r="G330" s="5" t="str">
        <f>+WORLDCUP!BD58</f>
        <v>Mexico</v>
      </c>
      <c r="H330" s="5" t="str">
        <f>+WORLDCUP!BD63</f>
        <v>Japan</v>
      </c>
      <c r="I330" s="5" t="str">
        <f>+WORLDCUP!BD69</f>
        <v>Ghana</v>
      </c>
      <c r="J330" s="5" t="str">
        <f>+WORLDCUP!BD68</f>
        <v>DR Congo</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Saudi Arabia</v>
      </c>
      <c r="D331" s="5" t="str">
        <f>+WORLDCUP!BD64</f>
        <v>Egypt</v>
      </c>
      <c r="E331" s="5" t="str">
        <f>+WORLDCUP!BD59</f>
        <v>Bosnia and Herzegovina</v>
      </c>
      <c r="F331" s="5" t="str">
        <f>+WORLDCUP!BD61</f>
        <v>Paraguay</v>
      </c>
      <c r="G331" s="5" t="str">
        <f>+WORLDCUP!BD58</f>
        <v>Mexico</v>
      </c>
      <c r="H331" s="5" t="str">
        <f>+WORLDCUP!BD63</f>
        <v>Japan</v>
      </c>
      <c r="I331" s="5" t="str">
        <f>+WORLDCUP!BD69</f>
        <v>Ghana</v>
      </c>
      <c r="J331" s="5" t="str">
        <f>+WORLDCUP!BD67</f>
        <v>Jordan</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Saudi Arabia</v>
      </c>
      <c r="D332" s="5" t="str">
        <f>+WORLDCUP!BD64</f>
        <v>Egypt</v>
      </c>
      <c r="E332" s="5" t="str">
        <f>+WORLDCUP!BD59</f>
        <v>Bosnia and Herzegovina</v>
      </c>
      <c r="F332" s="5" t="str">
        <f>+WORLDCUP!BD61</f>
        <v>Paraguay</v>
      </c>
      <c r="G332" s="5" t="str">
        <f>+WORLDCUP!BD58</f>
        <v>Mexico</v>
      </c>
      <c r="H332" s="5" t="str">
        <f>+WORLDCUP!BD63</f>
        <v>Japan</v>
      </c>
      <c r="I332" s="5" t="str">
        <f>+WORLDCUP!BD67</f>
        <v>Jordan</v>
      </c>
      <c r="J332" s="5" t="str">
        <f>+WORLDCUP!BD68</f>
        <v>DR Congo</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Saudi Arabia</v>
      </c>
      <c r="D333" s="5" t="str">
        <f>+WORLDCUP!BD64</f>
        <v>Egypt</v>
      </c>
      <c r="E333" s="5" t="str">
        <f>+WORLDCUP!BD59</f>
        <v>Bosnia and Herzegovina</v>
      </c>
      <c r="F333" s="5" t="str">
        <f>+WORLDCUP!BD61</f>
        <v>Paraguay</v>
      </c>
      <c r="G333" s="5" t="str">
        <f>+WORLDCUP!BD58</f>
        <v>Mexico</v>
      </c>
      <c r="H333" s="5" t="str">
        <f>+WORLDCUP!BD63</f>
        <v>Japan</v>
      </c>
      <c r="I333" s="5" t="str">
        <f>+WORLDCUP!BD69</f>
        <v>Ghana</v>
      </c>
      <c r="J333" s="5" t="str">
        <f>+WORLDCUP!BD66</f>
        <v>Senegal</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Saudi Arabia</v>
      </c>
      <c r="D334" s="5" t="str">
        <f>+WORLDCUP!BD64</f>
        <v>Egypt</v>
      </c>
      <c r="E334" s="5" t="str">
        <f>+WORLDCUP!BD59</f>
        <v>Bosnia and Herzegovina</v>
      </c>
      <c r="F334" s="5" t="str">
        <f>+WORLDCUP!BD61</f>
        <v>Paraguay</v>
      </c>
      <c r="G334" s="5" t="str">
        <f>+WORLDCUP!BD58</f>
        <v>Mexico</v>
      </c>
      <c r="H334" s="5" t="str">
        <f>+WORLDCUP!BD63</f>
        <v>Japan</v>
      </c>
      <c r="I334" s="5" t="str">
        <f>+WORLDCUP!BD66</f>
        <v>Senegal</v>
      </c>
      <c r="J334" s="5" t="str">
        <f>+WORLDCUP!BD68</f>
        <v>DR Congo</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Saudi Arabia</v>
      </c>
      <c r="D335" s="5" t="str">
        <f>+WORLDCUP!BD64</f>
        <v>Egypt</v>
      </c>
      <c r="E335" s="5" t="str">
        <f>+WORLDCUP!BD59</f>
        <v>Bosnia and Herzegovina</v>
      </c>
      <c r="F335" s="5" t="str">
        <f>+WORLDCUP!BD61</f>
        <v>Paraguay</v>
      </c>
      <c r="G335" s="5" t="str">
        <f>+WORLDCUP!BD58</f>
        <v>Mexico</v>
      </c>
      <c r="H335" s="5" t="str">
        <f>+WORLDCUP!BD63</f>
        <v>Japan</v>
      </c>
      <c r="I335" s="5" t="str">
        <f>+WORLDCUP!BD66</f>
        <v>Senegal</v>
      </c>
      <c r="J335" s="5" t="str">
        <f>+WORLDCUP!BD67</f>
        <v>Jordan</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Curaçao</v>
      </c>
      <c r="D336" s="5" t="str">
        <f>+WORLDCUP!BD67</f>
        <v>Jordan</v>
      </c>
      <c r="E336" s="5" t="str">
        <f>+WORLDCUP!BD59</f>
        <v>Bosnia and Herzegovina</v>
      </c>
      <c r="F336" s="5" t="str">
        <f>+WORLDCUP!BD58</f>
        <v>Mexico</v>
      </c>
      <c r="G336" s="5" t="str">
        <f>+WORLDCUP!BD66</f>
        <v>Senegal</v>
      </c>
      <c r="H336" s="5" t="str">
        <f>+WORLDCUP!BD61</f>
        <v>Paraguay</v>
      </c>
      <c r="I336" s="5" t="str">
        <f>+WORLDCUP!BD69</f>
        <v>Ghana</v>
      </c>
      <c r="J336" s="5" t="str">
        <f>+WORLDCUP!BD68</f>
        <v>DR Congo</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Curaçao</v>
      </c>
      <c r="D337" s="5" t="str">
        <f>+WORLDCUP!BD67</f>
        <v>Jordan</v>
      </c>
      <c r="E337" s="5" t="str">
        <f>+WORLDCUP!BD59</f>
        <v>Bosnia and Herzegovina</v>
      </c>
      <c r="F337" s="5" t="str">
        <f>+WORLDCUP!BD61</f>
        <v>Paraguay</v>
      </c>
      <c r="G337" s="5" t="str">
        <f>+WORLDCUP!BD58</f>
        <v>Mexico</v>
      </c>
      <c r="H337" s="5" t="str">
        <f>+WORLDCUP!BD65</f>
        <v>Saudi Arabia</v>
      </c>
      <c r="I337" s="5" t="str">
        <f>+WORLDCUP!BD69</f>
        <v>Ghana</v>
      </c>
      <c r="J337" s="5" t="str">
        <f>+WORLDCUP!BD68</f>
        <v>DR Congo</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Curaçao</v>
      </c>
      <c r="D338" s="5" t="str">
        <f>+WORLDCUP!BD66</f>
        <v>Senegal</v>
      </c>
      <c r="E338" s="5" t="str">
        <f>+WORLDCUP!BD59</f>
        <v>Bosnia and Herzegovina</v>
      </c>
      <c r="F338" s="5" t="str">
        <f>+WORLDCUP!BD61</f>
        <v>Paraguay</v>
      </c>
      <c r="G338" s="5" t="str">
        <f>+WORLDCUP!BD58</f>
        <v>Mexico</v>
      </c>
      <c r="H338" s="5" t="str">
        <f>+WORLDCUP!BD65</f>
        <v>Saudi Arabia</v>
      </c>
      <c r="I338" s="5" t="str">
        <f>+WORLDCUP!BD69</f>
        <v>Ghana</v>
      </c>
      <c r="J338" s="5" t="str">
        <f>+WORLDCUP!BD68</f>
        <v>DR Congo</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Curaçao</v>
      </c>
      <c r="D339" s="5" t="str">
        <f>+WORLDCUP!BD67</f>
        <v>Jordan</v>
      </c>
      <c r="E339" s="5" t="str">
        <f>+WORLDCUP!BD59</f>
        <v>Bosnia and Herzegovina</v>
      </c>
      <c r="F339" s="5" t="str">
        <f>+WORLDCUP!BD61</f>
        <v>Paraguay</v>
      </c>
      <c r="G339" s="5" t="str">
        <f>+WORLDCUP!BD58</f>
        <v>Mexico</v>
      </c>
      <c r="H339" s="5" t="str">
        <f>+WORLDCUP!BD65</f>
        <v>Saudi Arabia</v>
      </c>
      <c r="I339" s="5" t="str">
        <f>+WORLDCUP!BD69</f>
        <v>Ghana</v>
      </c>
      <c r="J339" s="5" t="str">
        <f>+WORLDCUP!BD66</f>
        <v>Senegal</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Curaçao</v>
      </c>
      <c r="D340" s="5" t="str">
        <f>+WORLDCUP!BD67</f>
        <v>Jordan</v>
      </c>
      <c r="E340" s="5" t="str">
        <f>+WORLDCUP!BD59</f>
        <v>Bosnia and Herzegovina</v>
      </c>
      <c r="F340" s="5" t="str">
        <f>+WORLDCUP!BD61</f>
        <v>Paraguay</v>
      </c>
      <c r="G340" s="5" t="str">
        <f>+WORLDCUP!BD58</f>
        <v>Mexico</v>
      </c>
      <c r="H340" s="5" t="str">
        <f>+WORLDCUP!BD65</f>
        <v>Saudi Arabia</v>
      </c>
      <c r="I340" s="5" t="str">
        <f>+WORLDCUP!BD66</f>
        <v>Senegal</v>
      </c>
      <c r="J340" s="5" t="str">
        <f>+WORLDCUP!BD68</f>
        <v>DR Congo</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Curaçao</v>
      </c>
      <c r="D341" s="5" t="str">
        <f>+WORLDCUP!BD67</f>
        <v>Jordan</v>
      </c>
      <c r="E341" s="5" t="str">
        <f>+WORLDCUP!BD59</f>
        <v>Bosnia and Herzegovina</v>
      </c>
      <c r="F341" s="5" t="str">
        <f>+WORLDCUP!BD61</f>
        <v>Paraguay</v>
      </c>
      <c r="G341" s="5" t="str">
        <f>+WORLDCUP!BD58</f>
        <v>Mexico</v>
      </c>
      <c r="H341" s="5" t="str">
        <f>+WORLDCUP!BD64</f>
        <v>Egypt</v>
      </c>
      <c r="I341" s="5" t="str">
        <f>+WORLDCUP!BD69</f>
        <v>Ghana</v>
      </c>
      <c r="J341" s="5" t="str">
        <f>+WORLDCUP!BD68</f>
        <v>DR Congo</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Curaçao</v>
      </c>
      <c r="D342" s="5" t="str">
        <f>+WORLDCUP!BD64</f>
        <v>Egypt</v>
      </c>
      <c r="E342" s="5" t="str">
        <f>+WORLDCUP!BD59</f>
        <v>Bosnia and Herzegovina</v>
      </c>
      <c r="F342" s="5" t="str">
        <f>+WORLDCUP!BD58</f>
        <v>Mexico</v>
      </c>
      <c r="G342" s="5" t="str">
        <f>+WORLDCUP!BD66</f>
        <v>Senegal</v>
      </c>
      <c r="H342" s="5" t="str">
        <f>+WORLDCUP!BD61</f>
        <v>Paraguay</v>
      </c>
      <c r="I342" s="5" t="str">
        <f>+WORLDCUP!BD69</f>
        <v>Ghana</v>
      </c>
      <c r="J342" s="5" t="str">
        <f>+WORLDCUP!BD68</f>
        <v>DR Congo</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Curaçao</v>
      </c>
      <c r="D343" s="5" t="str">
        <f>+WORLDCUP!BD67</f>
        <v>Jordan</v>
      </c>
      <c r="E343" s="5" t="str">
        <f>+WORLDCUP!BD59</f>
        <v>Bosnia and Herzegovina</v>
      </c>
      <c r="F343" s="5" t="str">
        <f>+WORLDCUP!BD61</f>
        <v>Paraguay</v>
      </c>
      <c r="G343" s="5" t="str">
        <f>+WORLDCUP!BD58</f>
        <v>Mexico</v>
      </c>
      <c r="H343" s="5" t="str">
        <f>+WORLDCUP!BD64</f>
        <v>Egypt</v>
      </c>
      <c r="I343" s="5" t="str">
        <f>+WORLDCUP!BD69</f>
        <v>Ghana</v>
      </c>
      <c r="J343" s="5" t="str">
        <f>+WORLDCUP!BD66</f>
        <v>Senegal</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Curaçao</v>
      </c>
      <c r="D344" s="5" t="str">
        <f>+WORLDCUP!BD67</f>
        <v>Jordan</v>
      </c>
      <c r="E344" s="5" t="str">
        <f>+WORLDCUP!BD59</f>
        <v>Bosnia and Herzegovina</v>
      </c>
      <c r="F344" s="5" t="str">
        <f>+WORLDCUP!BD61</f>
        <v>Paraguay</v>
      </c>
      <c r="G344" s="5" t="str">
        <f>+WORLDCUP!BD58</f>
        <v>Mexico</v>
      </c>
      <c r="H344" s="5" t="str">
        <f>+WORLDCUP!BD64</f>
        <v>Egypt</v>
      </c>
      <c r="I344" s="5" t="str">
        <f>+WORLDCUP!BD66</f>
        <v>Senegal</v>
      </c>
      <c r="J344" s="5" t="str">
        <f>+WORLDCUP!BD68</f>
        <v>DR Congo</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Curaçao</v>
      </c>
      <c r="D345" s="5" t="str">
        <f>+WORLDCUP!BD64</f>
        <v>Egypt</v>
      </c>
      <c r="E345" s="5" t="str">
        <f>+WORLDCUP!BD59</f>
        <v>Bosnia and Herzegovina</v>
      </c>
      <c r="F345" s="5" t="str">
        <f>+WORLDCUP!BD61</f>
        <v>Paraguay</v>
      </c>
      <c r="G345" s="5" t="str">
        <f>+WORLDCUP!BD58</f>
        <v>Mexico</v>
      </c>
      <c r="H345" s="5" t="str">
        <f>+WORLDCUP!BD65</f>
        <v>Saudi Arabia</v>
      </c>
      <c r="I345" s="5" t="str">
        <f>+WORLDCUP!BD69</f>
        <v>Ghana</v>
      </c>
      <c r="J345" s="5" t="str">
        <f>+WORLDCUP!BD68</f>
        <v>DR Congo</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Saudi Arabia</v>
      </c>
      <c r="D346" s="5" t="str">
        <f>+WORLDCUP!BD67</f>
        <v>Jordan</v>
      </c>
      <c r="E346" s="5" t="str">
        <f>+WORLDCUP!BD59</f>
        <v>Bosnia and Herzegovina</v>
      </c>
      <c r="F346" s="5" t="str">
        <f>+WORLDCUP!BD61</f>
        <v>Paraguay</v>
      </c>
      <c r="G346" s="5" t="str">
        <f>+WORLDCUP!BD58</f>
        <v>Mexico</v>
      </c>
      <c r="H346" s="5" t="str">
        <f>+WORLDCUP!BD64</f>
        <v>Egypt</v>
      </c>
      <c r="I346" s="5" t="str">
        <f>+WORLDCUP!BD69</f>
        <v>Ghana</v>
      </c>
      <c r="J346" s="5" t="str">
        <f>+WORLDCUP!BD62</f>
        <v>Curaçao</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Saudi Arabia</v>
      </c>
      <c r="D347" s="5" t="str">
        <f>+WORLDCUP!BD67</f>
        <v>Jordan</v>
      </c>
      <c r="E347" s="5" t="str">
        <f>+WORLDCUP!BD59</f>
        <v>Bosnia and Herzegovina</v>
      </c>
      <c r="F347" s="5" t="str">
        <f>+WORLDCUP!BD61</f>
        <v>Paraguay</v>
      </c>
      <c r="G347" s="5" t="str">
        <f>+WORLDCUP!BD58</f>
        <v>Mexico</v>
      </c>
      <c r="H347" s="5" t="str">
        <f>+WORLDCUP!BD64</f>
        <v>Egypt</v>
      </c>
      <c r="I347" s="5" t="str">
        <f>+WORLDCUP!BD62</f>
        <v>Curaçao</v>
      </c>
      <c r="J347" s="5" t="str">
        <f>+WORLDCUP!BD68</f>
        <v>DR Congo</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Curaçao</v>
      </c>
      <c r="D348" s="5" t="str">
        <f>+WORLDCUP!BD64</f>
        <v>Egypt</v>
      </c>
      <c r="E348" s="5" t="str">
        <f>+WORLDCUP!BD59</f>
        <v>Bosnia and Herzegovina</v>
      </c>
      <c r="F348" s="5" t="str">
        <f>+WORLDCUP!BD61</f>
        <v>Paraguay</v>
      </c>
      <c r="G348" s="5" t="str">
        <f>+WORLDCUP!BD58</f>
        <v>Mexico</v>
      </c>
      <c r="H348" s="5" t="str">
        <f>+WORLDCUP!BD65</f>
        <v>Saudi Arabia</v>
      </c>
      <c r="I348" s="5" t="str">
        <f>+WORLDCUP!BD69</f>
        <v>Ghana</v>
      </c>
      <c r="J348" s="5" t="str">
        <f>+WORLDCUP!BD66</f>
        <v>Senegal</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Curaçao</v>
      </c>
      <c r="D349" s="5" t="str">
        <f>+WORLDCUP!BD64</f>
        <v>Egypt</v>
      </c>
      <c r="E349" s="5" t="str">
        <f>+WORLDCUP!BD59</f>
        <v>Bosnia and Herzegovina</v>
      </c>
      <c r="F349" s="5" t="str">
        <f>+WORLDCUP!BD61</f>
        <v>Paraguay</v>
      </c>
      <c r="G349" s="5" t="str">
        <f>+WORLDCUP!BD58</f>
        <v>Mexico</v>
      </c>
      <c r="H349" s="5" t="str">
        <f>+WORLDCUP!BD65</f>
        <v>Saudi Arabia</v>
      </c>
      <c r="I349" s="5" t="str">
        <f>+WORLDCUP!BD66</f>
        <v>Senegal</v>
      </c>
      <c r="J349" s="5" t="str">
        <f>+WORLDCUP!BD68</f>
        <v>DR Congo</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Saudi Arabia</v>
      </c>
      <c r="D350" s="5" t="str">
        <f>+WORLDCUP!BD67</f>
        <v>Jordan</v>
      </c>
      <c r="E350" s="5" t="str">
        <f>+WORLDCUP!BD59</f>
        <v>Bosnia and Herzegovina</v>
      </c>
      <c r="F350" s="5" t="str">
        <f>+WORLDCUP!BD61</f>
        <v>Paraguay</v>
      </c>
      <c r="G350" s="5" t="str">
        <f>+WORLDCUP!BD58</f>
        <v>Mexico</v>
      </c>
      <c r="H350" s="5" t="str">
        <f>+WORLDCUP!BD64</f>
        <v>Egypt</v>
      </c>
      <c r="I350" s="5" t="str">
        <f>+WORLDCUP!BD62</f>
        <v>Curaçao</v>
      </c>
      <c r="J350" s="5" t="str">
        <f>+WORLDCUP!BD66</f>
        <v>Senegal</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Curaçao</v>
      </c>
      <c r="D351" s="5" t="str">
        <f>+WORLDCUP!BD67</f>
        <v>Jordan</v>
      </c>
      <c r="E351" s="5" t="str">
        <f>+WORLDCUP!BD59</f>
        <v>Bosnia and Herzegovina</v>
      </c>
      <c r="F351" s="5" t="str">
        <f>+WORLDCUP!BD61</f>
        <v>Paraguay</v>
      </c>
      <c r="G351" s="5" t="str">
        <f>+WORLDCUP!BD58</f>
        <v>Mexico</v>
      </c>
      <c r="H351" s="5" t="str">
        <f>+WORLDCUP!BD63</f>
        <v>Japan</v>
      </c>
      <c r="I351" s="5" t="str">
        <f>+WORLDCUP!BD69</f>
        <v>Ghana</v>
      </c>
      <c r="J351" s="5" t="str">
        <f>+WORLDCUP!BD68</f>
        <v>DR Congo</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Curaçao</v>
      </c>
      <c r="D352" s="5" t="str">
        <f>+WORLDCUP!BD66</f>
        <v>Senegal</v>
      </c>
      <c r="E352" s="5" t="str">
        <f>+WORLDCUP!BD59</f>
        <v>Bosnia and Herzegovina</v>
      </c>
      <c r="F352" s="5" t="str">
        <f>+WORLDCUP!BD61</f>
        <v>Paraguay</v>
      </c>
      <c r="G352" s="5" t="str">
        <f>+WORLDCUP!BD58</f>
        <v>Mexico</v>
      </c>
      <c r="H352" s="5" t="str">
        <f>+WORLDCUP!BD63</f>
        <v>Japan</v>
      </c>
      <c r="I352" s="5" t="str">
        <f>+WORLDCUP!BD69</f>
        <v>Ghana</v>
      </c>
      <c r="J352" s="5" t="str">
        <f>+WORLDCUP!BD68</f>
        <v>DR Congo</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Curaçao</v>
      </c>
      <c r="D353" s="5" t="str">
        <f>+WORLDCUP!BD67</f>
        <v>Jordan</v>
      </c>
      <c r="E353" s="5" t="str">
        <f>+WORLDCUP!BD59</f>
        <v>Bosnia and Herzegovina</v>
      </c>
      <c r="F353" s="5" t="str">
        <f>+WORLDCUP!BD61</f>
        <v>Paraguay</v>
      </c>
      <c r="G353" s="5" t="str">
        <f>+WORLDCUP!BD58</f>
        <v>Mexico</v>
      </c>
      <c r="H353" s="5" t="str">
        <f>+WORLDCUP!BD63</f>
        <v>Japan</v>
      </c>
      <c r="I353" s="5" t="str">
        <f>+WORLDCUP!BD69</f>
        <v>Ghana</v>
      </c>
      <c r="J353" s="5" t="str">
        <f>+WORLDCUP!BD66</f>
        <v>Senegal</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Curaçao</v>
      </c>
      <c r="D354" s="5" t="str">
        <f>+WORLDCUP!BD67</f>
        <v>Jordan</v>
      </c>
      <c r="E354" s="5" t="str">
        <f>+WORLDCUP!BD59</f>
        <v>Bosnia and Herzegovina</v>
      </c>
      <c r="F354" s="5" t="str">
        <f>+WORLDCUP!BD61</f>
        <v>Paraguay</v>
      </c>
      <c r="G354" s="5" t="str">
        <f>+WORLDCUP!BD58</f>
        <v>Mexico</v>
      </c>
      <c r="H354" s="5" t="str">
        <f>+WORLDCUP!BD63</f>
        <v>Japan</v>
      </c>
      <c r="I354" s="5" t="str">
        <f>+WORLDCUP!BD66</f>
        <v>Senegal</v>
      </c>
      <c r="J354" s="5" t="str">
        <f>+WORLDCUP!BD68</f>
        <v>DR Congo</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Saudi Arabia</v>
      </c>
      <c r="D355" s="5" t="str">
        <f>+WORLDCUP!BD62</f>
        <v>Curaçao</v>
      </c>
      <c r="E355" s="5" t="str">
        <f>+WORLDCUP!BD59</f>
        <v>Bosnia and Herzegovina</v>
      </c>
      <c r="F355" s="5" t="str">
        <f>+WORLDCUP!BD61</f>
        <v>Paraguay</v>
      </c>
      <c r="G355" s="5" t="str">
        <f>+WORLDCUP!BD58</f>
        <v>Mexico</v>
      </c>
      <c r="H355" s="5" t="str">
        <f>+WORLDCUP!BD63</f>
        <v>Japan</v>
      </c>
      <c r="I355" s="5" t="str">
        <f>+WORLDCUP!BD69</f>
        <v>Ghana</v>
      </c>
      <c r="J355" s="5" t="str">
        <f>+WORLDCUP!BD68</f>
        <v>DR Congo</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Saudi Arabia</v>
      </c>
      <c r="D356" s="5" t="str">
        <f>+WORLDCUP!BD67</f>
        <v>Jordan</v>
      </c>
      <c r="E356" s="5" t="str">
        <f>+WORLDCUP!BD59</f>
        <v>Bosnia and Herzegovina</v>
      </c>
      <c r="F356" s="5" t="str">
        <f>+WORLDCUP!BD61</f>
        <v>Paraguay</v>
      </c>
      <c r="G356" s="5" t="str">
        <f>+WORLDCUP!BD58</f>
        <v>Mexico</v>
      </c>
      <c r="H356" s="5" t="str">
        <f>+WORLDCUP!BD63</f>
        <v>Japan</v>
      </c>
      <c r="I356" s="5" t="str">
        <f>+WORLDCUP!BD69</f>
        <v>Ghana</v>
      </c>
      <c r="J356" s="5" t="str">
        <f>+WORLDCUP!BD62</f>
        <v>Curaçao</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Saudi Arabia</v>
      </c>
      <c r="D357" s="5" t="str">
        <f>+WORLDCUP!BD67</f>
        <v>Jordan</v>
      </c>
      <c r="E357" s="5" t="str">
        <f>+WORLDCUP!BD59</f>
        <v>Bosnia and Herzegovina</v>
      </c>
      <c r="F357" s="5" t="str">
        <f>+WORLDCUP!BD61</f>
        <v>Paraguay</v>
      </c>
      <c r="G357" s="5" t="str">
        <f>+WORLDCUP!BD58</f>
        <v>Mexico</v>
      </c>
      <c r="H357" s="5" t="str">
        <f>+WORLDCUP!BD63</f>
        <v>Japan</v>
      </c>
      <c r="I357" s="5" t="str">
        <f>+WORLDCUP!BD62</f>
        <v>Curaçao</v>
      </c>
      <c r="J357" s="5" t="str">
        <f>+WORLDCUP!BD68</f>
        <v>DR Congo</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Saudi Arabia</v>
      </c>
      <c r="D358" s="5" t="str">
        <f>+WORLDCUP!BD62</f>
        <v>Curaçao</v>
      </c>
      <c r="E358" s="5" t="str">
        <f>+WORLDCUP!BD59</f>
        <v>Bosnia and Herzegovina</v>
      </c>
      <c r="F358" s="5" t="str">
        <f>+WORLDCUP!BD61</f>
        <v>Paraguay</v>
      </c>
      <c r="G358" s="5" t="str">
        <f>+WORLDCUP!BD58</f>
        <v>Mexico</v>
      </c>
      <c r="H358" s="5" t="str">
        <f>+WORLDCUP!BD63</f>
        <v>Japan</v>
      </c>
      <c r="I358" s="5" t="str">
        <f>+WORLDCUP!BD69</f>
        <v>Ghana</v>
      </c>
      <c r="J358" s="5" t="str">
        <f>+WORLDCUP!BD66</f>
        <v>Senegal</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Saudi Arabia</v>
      </c>
      <c r="D359" s="5" t="str">
        <f>+WORLDCUP!BD62</f>
        <v>Curaçao</v>
      </c>
      <c r="E359" s="5" t="str">
        <f>+WORLDCUP!BD59</f>
        <v>Bosnia and Herzegovina</v>
      </c>
      <c r="F359" s="5" t="str">
        <f>+WORLDCUP!BD61</f>
        <v>Paraguay</v>
      </c>
      <c r="G359" s="5" t="str">
        <f>+WORLDCUP!BD58</f>
        <v>Mexico</v>
      </c>
      <c r="H359" s="5" t="str">
        <f>+WORLDCUP!BD63</f>
        <v>Japan</v>
      </c>
      <c r="I359" s="5" t="str">
        <f>+WORLDCUP!BD66</f>
        <v>Senegal</v>
      </c>
      <c r="J359" s="5" t="str">
        <f>+WORLDCUP!BD68</f>
        <v>DR Congo</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Saudi Arabia</v>
      </c>
      <c r="D360" s="5" t="str">
        <f>+WORLDCUP!BD67</f>
        <v>Jordan</v>
      </c>
      <c r="E360" s="5" t="str">
        <f>+WORLDCUP!BD59</f>
        <v>Bosnia and Herzegovina</v>
      </c>
      <c r="F360" s="5" t="str">
        <f>+WORLDCUP!BD61</f>
        <v>Paraguay</v>
      </c>
      <c r="G360" s="5" t="str">
        <f>+WORLDCUP!BD58</f>
        <v>Mexico</v>
      </c>
      <c r="H360" s="5" t="str">
        <f>+WORLDCUP!BD63</f>
        <v>Japan</v>
      </c>
      <c r="I360" s="5" t="str">
        <f>+WORLDCUP!BD62</f>
        <v>Curaçao</v>
      </c>
      <c r="J360" s="5" t="str">
        <f>+WORLDCUP!BD66</f>
        <v>Senegal</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Curaçao</v>
      </c>
      <c r="D361" s="5" t="str">
        <f>+WORLDCUP!BD64</f>
        <v>Egypt</v>
      </c>
      <c r="E361" s="5" t="str">
        <f>+WORLDCUP!BD59</f>
        <v>Bosnia and Herzegovina</v>
      </c>
      <c r="F361" s="5" t="str">
        <f>+WORLDCUP!BD61</f>
        <v>Paraguay</v>
      </c>
      <c r="G361" s="5" t="str">
        <f>+WORLDCUP!BD58</f>
        <v>Mexico</v>
      </c>
      <c r="H361" s="5" t="str">
        <f>+WORLDCUP!BD63</f>
        <v>Japan</v>
      </c>
      <c r="I361" s="5" t="str">
        <f>+WORLDCUP!BD69</f>
        <v>Ghana</v>
      </c>
      <c r="J361" s="5" t="str">
        <f>+WORLDCUP!BD68</f>
        <v>DR Congo</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Curaçao</v>
      </c>
      <c r="D362" s="5" t="str">
        <f>+WORLDCUP!BD64</f>
        <v>Egypt</v>
      </c>
      <c r="E362" s="5" t="str">
        <f>+WORLDCUP!BD59</f>
        <v>Bosnia and Herzegovina</v>
      </c>
      <c r="F362" s="5" t="str">
        <f>+WORLDCUP!BD61</f>
        <v>Paraguay</v>
      </c>
      <c r="G362" s="5" t="str">
        <f>+WORLDCUP!BD58</f>
        <v>Mexico</v>
      </c>
      <c r="H362" s="5" t="str">
        <f>+WORLDCUP!BD63</f>
        <v>Japan</v>
      </c>
      <c r="I362" s="5" t="str">
        <f>+WORLDCUP!BD69</f>
        <v>Ghana</v>
      </c>
      <c r="J362" s="5" t="str">
        <f>+WORLDCUP!BD67</f>
        <v>Jordan</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Curaçao</v>
      </c>
      <c r="D363" s="5" t="str">
        <f>+WORLDCUP!BD64</f>
        <v>Egypt</v>
      </c>
      <c r="E363" s="5" t="str">
        <f>+WORLDCUP!BD59</f>
        <v>Bosnia and Herzegovina</v>
      </c>
      <c r="F363" s="5" t="str">
        <f>+WORLDCUP!BD61</f>
        <v>Paraguay</v>
      </c>
      <c r="G363" s="5" t="str">
        <f>+WORLDCUP!BD58</f>
        <v>Mexico</v>
      </c>
      <c r="H363" s="5" t="str">
        <f>+WORLDCUP!BD63</f>
        <v>Japan</v>
      </c>
      <c r="I363" s="5" t="str">
        <f>+WORLDCUP!BD67</f>
        <v>Jordan</v>
      </c>
      <c r="J363" s="5" t="str">
        <f>+WORLDCUP!BD68</f>
        <v>DR Congo</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Curaçao</v>
      </c>
      <c r="D364" s="5" t="str">
        <f>+WORLDCUP!BD64</f>
        <v>Egypt</v>
      </c>
      <c r="E364" s="5" t="str">
        <f>+WORLDCUP!BD59</f>
        <v>Bosnia and Herzegovina</v>
      </c>
      <c r="F364" s="5" t="str">
        <f>+WORLDCUP!BD61</f>
        <v>Paraguay</v>
      </c>
      <c r="G364" s="5" t="str">
        <f>+WORLDCUP!BD58</f>
        <v>Mexico</v>
      </c>
      <c r="H364" s="5" t="str">
        <f>+WORLDCUP!BD63</f>
        <v>Japan</v>
      </c>
      <c r="I364" s="5" t="str">
        <f>+WORLDCUP!BD69</f>
        <v>Ghana</v>
      </c>
      <c r="J364" s="5" t="str">
        <f>+WORLDCUP!BD66</f>
        <v>Senegal</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Curaçao</v>
      </c>
      <c r="D365" s="5" t="str">
        <f>+WORLDCUP!BD64</f>
        <v>Egypt</v>
      </c>
      <c r="E365" s="5" t="str">
        <f>+WORLDCUP!BD59</f>
        <v>Bosnia and Herzegovina</v>
      </c>
      <c r="F365" s="5" t="str">
        <f>+WORLDCUP!BD61</f>
        <v>Paraguay</v>
      </c>
      <c r="G365" s="5" t="str">
        <f>+WORLDCUP!BD58</f>
        <v>Mexico</v>
      </c>
      <c r="H365" s="5" t="str">
        <f>+WORLDCUP!BD63</f>
        <v>Japan</v>
      </c>
      <c r="I365" s="5" t="str">
        <f>+WORLDCUP!BD66</f>
        <v>Senegal</v>
      </c>
      <c r="J365" s="5" t="str">
        <f>+WORLDCUP!BD68</f>
        <v>DR Congo</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Curaçao</v>
      </c>
      <c r="D366" s="5" t="str">
        <f>+WORLDCUP!BD64</f>
        <v>Egypt</v>
      </c>
      <c r="E366" s="5" t="str">
        <f>+WORLDCUP!BD59</f>
        <v>Bosnia and Herzegovina</v>
      </c>
      <c r="F366" s="5" t="str">
        <f>+WORLDCUP!BD61</f>
        <v>Paraguay</v>
      </c>
      <c r="G366" s="5" t="str">
        <f>+WORLDCUP!BD58</f>
        <v>Mexico</v>
      </c>
      <c r="H366" s="5" t="str">
        <f>+WORLDCUP!BD63</f>
        <v>Japan</v>
      </c>
      <c r="I366" s="5" t="str">
        <f>+WORLDCUP!BD66</f>
        <v>Senegal</v>
      </c>
      <c r="J366" s="5" t="str">
        <f>+WORLDCUP!BD67</f>
        <v>Jordan</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Saudi Arabia</v>
      </c>
      <c r="D367" s="5" t="str">
        <f>+WORLDCUP!BD64</f>
        <v>Egypt</v>
      </c>
      <c r="E367" s="5" t="str">
        <f>+WORLDCUP!BD59</f>
        <v>Bosnia and Herzegovina</v>
      </c>
      <c r="F367" s="5" t="str">
        <f>+WORLDCUP!BD61</f>
        <v>Paraguay</v>
      </c>
      <c r="G367" s="5" t="str">
        <f>+WORLDCUP!BD58</f>
        <v>Mexico</v>
      </c>
      <c r="H367" s="5" t="str">
        <f>+WORLDCUP!BD63</f>
        <v>Japan</v>
      </c>
      <c r="I367" s="5" t="str">
        <f>+WORLDCUP!BD69</f>
        <v>Ghana</v>
      </c>
      <c r="J367" s="5" t="str">
        <f>+WORLDCUP!BD62</f>
        <v>Curaçao</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Saudi Arabia</v>
      </c>
      <c r="D368" s="5" t="str">
        <f>+WORLDCUP!BD64</f>
        <v>Egypt</v>
      </c>
      <c r="E368" s="5" t="str">
        <f>+WORLDCUP!BD59</f>
        <v>Bosnia and Herzegovina</v>
      </c>
      <c r="F368" s="5" t="str">
        <f>+WORLDCUP!BD61</f>
        <v>Paraguay</v>
      </c>
      <c r="G368" s="5" t="str">
        <f>+WORLDCUP!BD58</f>
        <v>Mexico</v>
      </c>
      <c r="H368" s="5" t="str">
        <f>+WORLDCUP!BD63</f>
        <v>Japan</v>
      </c>
      <c r="I368" s="5" t="str">
        <f>+WORLDCUP!BD62</f>
        <v>Curaçao</v>
      </c>
      <c r="J368" s="5" t="str">
        <f>+WORLDCUP!BD68</f>
        <v>DR Congo</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Saudi Arabia</v>
      </c>
      <c r="D369" s="5" t="str">
        <f>+WORLDCUP!BD64</f>
        <v>Egypt</v>
      </c>
      <c r="E369" s="5" t="str">
        <f>+WORLDCUP!BD59</f>
        <v>Bosnia and Herzegovina</v>
      </c>
      <c r="F369" s="5" t="str">
        <f>+WORLDCUP!BD61</f>
        <v>Paraguay</v>
      </c>
      <c r="G369" s="5" t="str">
        <f>+WORLDCUP!BD58</f>
        <v>Mexico</v>
      </c>
      <c r="H369" s="5" t="str">
        <f>+WORLDCUP!BD63</f>
        <v>Japan</v>
      </c>
      <c r="I369" s="5" t="str">
        <f>+WORLDCUP!BD62</f>
        <v>Curaçao</v>
      </c>
      <c r="J369" s="5" t="str">
        <f>+WORLDCUP!BD67</f>
        <v>Jordan</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Saudi Arabia</v>
      </c>
      <c r="D370" s="5" t="str">
        <f>+WORLDCUP!BD64</f>
        <v>Egypt</v>
      </c>
      <c r="E370" s="5" t="str">
        <f>+WORLDCUP!BD59</f>
        <v>Bosnia and Herzegovina</v>
      </c>
      <c r="F370" s="5" t="str">
        <f>+WORLDCUP!BD61</f>
        <v>Paraguay</v>
      </c>
      <c r="G370" s="5" t="str">
        <f>+WORLDCUP!BD58</f>
        <v>Mexico</v>
      </c>
      <c r="H370" s="5" t="str">
        <f>+WORLDCUP!BD63</f>
        <v>Japan</v>
      </c>
      <c r="I370" s="5" t="str">
        <f>+WORLDCUP!BD62</f>
        <v>Curaçao</v>
      </c>
      <c r="J370" s="5" t="str">
        <f>+WORLDCUP!BD66</f>
        <v>Senegal</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Senegal</v>
      </c>
      <c r="D371" s="5" t="str">
        <f>+WORLDCUP!BD67</f>
        <v>Jordan</v>
      </c>
      <c r="E371" s="5" t="str">
        <f>+WORLDCUP!BD59</f>
        <v>Bosnia and Herzegovina</v>
      </c>
      <c r="F371" s="5" t="str">
        <f>+WORLDCUP!BD60</f>
        <v>Scotland</v>
      </c>
      <c r="G371" s="5" t="str">
        <f>+WORLDCUP!BD58</f>
        <v>Mexico</v>
      </c>
      <c r="H371" s="5" t="str">
        <f>+WORLDCUP!BD65</f>
        <v>Saudi Arabia</v>
      </c>
      <c r="I371" s="5" t="str">
        <f>+WORLDCUP!BD69</f>
        <v>Ghana</v>
      </c>
      <c r="J371" s="5" t="str">
        <f>+WORLDCUP!BD68</f>
        <v>DR Congo</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Senegal</v>
      </c>
      <c r="D372" s="5" t="str">
        <f>+WORLDCUP!BD67</f>
        <v>Jordan</v>
      </c>
      <c r="E372" s="5" t="str">
        <f>+WORLDCUP!BD59</f>
        <v>Bosnia and Herzegovina</v>
      </c>
      <c r="F372" s="5" t="str">
        <f>+WORLDCUP!BD60</f>
        <v>Scotland</v>
      </c>
      <c r="G372" s="5" t="str">
        <f>+WORLDCUP!BD58</f>
        <v>Mexico</v>
      </c>
      <c r="H372" s="5" t="str">
        <f>+WORLDCUP!BD64</f>
        <v>Egypt</v>
      </c>
      <c r="I372" s="5" t="str">
        <f>+WORLDCUP!BD69</f>
        <v>Ghana</v>
      </c>
      <c r="J372" s="5" t="str">
        <f>+WORLDCUP!BD68</f>
        <v>DR Congo</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Saudi Arabia</v>
      </c>
      <c r="D373" s="5" t="str">
        <f>+WORLDCUP!BD67</f>
        <v>Jordan</v>
      </c>
      <c r="E373" s="5" t="str">
        <f>+WORLDCUP!BD59</f>
        <v>Bosnia and Herzegovina</v>
      </c>
      <c r="F373" s="5" t="str">
        <f>+WORLDCUP!BD60</f>
        <v>Scotland</v>
      </c>
      <c r="G373" s="5" t="str">
        <f>+WORLDCUP!BD58</f>
        <v>Mexico</v>
      </c>
      <c r="H373" s="5" t="str">
        <f>+WORLDCUP!BD64</f>
        <v>Egypt</v>
      </c>
      <c r="I373" s="5" t="str">
        <f>+WORLDCUP!BD69</f>
        <v>Ghana</v>
      </c>
      <c r="J373" s="5" t="str">
        <f>+WORLDCUP!BD68</f>
        <v>DR Congo</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Senegal</v>
      </c>
      <c r="D374" s="5" t="str">
        <f>+WORLDCUP!BD64</f>
        <v>Egypt</v>
      </c>
      <c r="E374" s="5" t="str">
        <f>+WORLDCUP!BD59</f>
        <v>Bosnia and Herzegovina</v>
      </c>
      <c r="F374" s="5" t="str">
        <f>+WORLDCUP!BD60</f>
        <v>Scotland</v>
      </c>
      <c r="G374" s="5" t="str">
        <f>+WORLDCUP!BD58</f>
        <v>Mexico</v>
      </c>
      <c r="H374" s="5" t="str">
        <f>+WORLDCUP!BD65</f>
        <v>Saudi Arabia</v>
      </c>
      <c r="I374" s="5" t="str">
        <f>+WORLDCUP!BD69</f>
        <v>Ghana</v>
      </c>
      <c r="J374" s="5" t="str">
        <f>+WORLDCUP!BD68</f>
        <v>DR Congo</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Saudi Arabia</v>
      </c>
      <c r="D375" s="5" t="str">
        <f>+WORLDCUP!BD67</f>
        <v>Jordan</v>
      </c>
      <c r="E375" s="5" t="str">
        <f>+WORLDCUP!BD59</f>
        <v>Bosnia and Herzegovina</v>
      </c>
      <c r="F375" s="5" t="str">
        <f>+WORLDCUP!BD60</f>
        <v>Scotland</v>
      </c>
      <c r="G375" s="5" t="str">
        <f>+WORLDCUP!BD58</f>
        <v>Mexico</v>
      </c>
      <c r="H375" s="5" t="str">
        <f>+WORLDCUP!BD64</f>
        <v>Egypt</v>
      </c>
      <c r="I375" s="5" t="str">
        <f>+WORLDCUP!BD69</f>
        <v>Ghana</v>
      </c>
      <c r="J375" s="5" t="str">
        <f>+WORLDCUP!BD66</f>
        <v>Senegal</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Saudi Arabia</v>
      </c>
      <c r="D376" s="5" t="str">
        <f>+WORLDCUP!BD67</f>
        <v>Jordan</v>
      </c>
      <c r="E376" s="5" t="str">
        <f>+WORLDCUP!BD59</f>
        <v>Bosnia and Herzegovina</v>
      </c>
      <c r="F376" s="5" t="str">
        <f>+WORLDCUP!BD60</f>
        <v>Scotland</v>
      </c>
      <c r="G376" s="5" t="str">
        <f>+WORLDCUP!BD58</f>
        <v>Mexico</v>
      </c>
      <c r="H376" s="5" t="str">
        <f>+WORLDCUP!BD64</f>
        <v>Egypt</v>
      </c>
      <c r="I376" s="5" t="str">
        <f>+WORLDCUP!BD66</f>
        <v>Senegal</v>
      </c>
      <c r="J376" s="5" t="str">
        <f>+WORLDCUP!BD68</f>
        <v>DR Congo</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Senegal</v>
      </c>
      <c r="D377" s="5" t="str">
        <f>+WORLDCUP!BD67</f>
        <v>Jordan</v>
      </c>
      <c r="E377" s="5" t="str">
        <f>+WORLDCUP!BD59</f>
        <v>Bosnia and Herzegovina</v>
      </c>
      <c r="F377" s="5" t="str">
        <f>+WORLDCUP!BD60</f>
        <v>Scotland</v>
      </c>
      <c r="G377" s="5" t="str">
        <f>+WORLDCUP!BD58</f>
        <v>Mexico</v>
      </c>
      <c r="H377" s="5" t="str">
        <f>+WORLDCUP!BD63</f>
        <v>Japan</v>
      </c>
      <c r="I377" s="5" t="str">
        <f>+WORLDCUP!BD69</f>
        <v>Ghana</v>
      </c>
      <c r="J377" s="5" t="str">
        <f>+WORLDCUP!BD68</f>
        <v>DR Congo</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Saudi Arabia</v>
      </c>
      <c r="D378" s="5" t="str">
        <f>+WORLDCUP!BD67</f>
        <v>Jordan</v>
      </c>
      <c r="E378" s="5" t="str">
        <f>+WORLDCUP!BD59</f>
        <v>Bosnia and Herzegovina</v>
      </c>
      <c r="F378" s="5" t="str">
        <f>+WORLDCUP!BD60</f>
        <v>Scotland</v>
      </c>
      <c r="G378" s="5" t="str">
        <f>+WORLDCUP!BD58</f>
        <v>Mexico</v>
      </c>
      <c r="H378" s="5" t="str">
        <f>+WORLDCUP!BD63</f>
        <v>Japan</v>
      </c>
      <c r="I378" s="5" t="str">
        <f>+WORLDCUP!BD69</f>
        <v>Ghana</v>
      </c>
      <c r="J378" s="5" t="str">
        <f>+WORLDCUP!BD68</f>
        <v>DR Congo</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Saudi Arabia</v>
      </c>
      <c r="D379" s="5" t="str">
        <f>+WORLDCUP!BD66</f>
        <v>Senegal</v>
      </c>
      <c r="E379" s="5" t="str">
        <f>+WORLDCUP!BD59</f>
        <v>Bosnia and Herzegovina</v>
      </c>
      <c r="F379" s="5" t="str">
        <f>+WORLDCUP!BD60</f>
        <v>Scotland</v>
      </c>
      <c r="G379" s="5" t="str">
        <f>+WORLDCUP!BD58</f>
        <v>Mexico</v>
      </c>
      <c r="H379" s="5" t="str">
        <f>+WORLDCUP!BD63</f>
        <v>Japan</v>
      </c>
      <c r="I379" s="5" t="str">
        <f>+WORLDCUP!BD69</f>
        <v>Ghana</v>
      </c>
      <c r="J379" s="5" t="str">
        <f>+WORLDCUP!BD68</f>
        <v>DR Congo</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Saudi Arabia</v>
      </c>
      <c r="D380" s="5" t="str">
        <f>+WORLDCUP!BD67</f>
        <v>Jordan</v>
      </c>
      <c r="E380" s="5" t="str">
        <f>+WORLDCUP!BD59</f>
        <v>Bosnia and Herzegovina</v>
      </c>
      <c r="F380" s="5" t="str">
        <f>+WORLDCUP!BD60</f>
        <v>Scotland</v>
      </c>
      <c r="G380" s="5" t="str">
        <f>+WORLDCUP!BD58</f>
        <v>Mexico</v>
      </c>
      <c r="H380" s="5" t="str">
        <f>+WORLDCUP!BD63</f>
        <v>Japan</v>
      </c>
      <c r="I380" s="5" t="str">
        <f>+WORLDCUP!BD69</f>
        <v>Ghana</v>
      </c>
      <c r="J380" s="5" t="str">
        <f>+WORLDCUP!BD66</f>
        <v>Senegal</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Saudi Arabia</v>
      </c>
      <c r="D381" s="5" t="str">
        <f>+WORLDCUP!BD67</f>
        <v>Jordan</v>
      </c>
      <c r="E381" s="5" t="str">
        <f>+WORLDCUP!BD59</f>
        <v>Bosnia and Herzegovina</v>
      </c>
      <c r="F381" s="5" t="str">
        <f>+WORLDCUP!BD60</f>
        <v>Scotland</v>
      </c>
      <c r="G381" s="5" t="str">
        <f>+WORLDCUP!BD58</f>
        <v>Mexico</v>
      </c>
      <c r="H381" s="5" t="str">
        <f>+WORLDCUP!BD63</f>
        <v>Japan</v>
      </c>
      <c r="I381" s="5" t="str">
        <f>+WORLDCUP!BD66</f>
        <v>Senegal</v>
      </c>
      <c r="J381" s="5" t="str">
        <f>+WORLDCUP!BD68</f>
        <v>DR Congo</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Scotland</v>
      </c>
      <c r="D382" s="5" t="str">
        <f>+WORLDCUP!BD67</f>
        <v>Jordan</v>
      </c>
      <c r="E382" s="5" t="str">
        <f>+WORLDCUP!BD59</f>
        <v>Bosnia and Herzegovina</v>
      </c>
      <c r="F382" s="5" t="str">
        <f>+WORLDCUP!BD63</f>
        <v>Japan</v>
      </c>
      <c r="G382" s="5" t="str">
        <f>+WORLDCUP!BD58</f>
        <v>Mexico</v>
      </c>
      <c r="H382" s="5" t="str">
        <f>+WORLDCUP!BD64</f>
        <v>Egypt</v>
      </c>
      <c r="I382" s="5" t="str">
        <f>+WORLDCUP!BD69</f>
        <v>Ghana</v>
      </c>
      <c r="J382" s="5" t="str">
        <f>+WORLDCUP!BD68</f>
        <v>DR Congo</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Senegal</v>
      </c>
      <c r="D383" s="5" t="str">
        <f>+WORLDCUP!BD64</f>
        <v>Egypt</v>
      </c>
      <c r="E383" s="5" t="str">
        <f>+WORLDCUP!BD59</f>
        <v>Bosnia and Herzegovina</v>
      </c>
      <c r="F383" s="5" t="str">
        <f>+WORLDCUP!BD60</f>
        <v>Scotland</v>
      </c>
      <c r="G383" s="5" t="str">
        <f>+WORLDCUP!BD58</f>
        <v>Mexico</v>
      </c>
      <c r="H383" s="5" t="str">
        <f>+WORLDCUP!BD63</f>
        <v>Japan</v>
      </c>
      <c r="I383" s="5" t="str">
        <f>+WORLDCUP!BD69</f>
        <v>Ghana</v>
      </c>
      <c r="J383" s="5" t="str">
        <f>+WORLDCUP!BD68</f>
        <v>DR Congo</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Scotland</v>
      </c>
      <c r="D384" s="5" t="str">
        <f>+WORLDCUP!BD67</f>
        <v>Jordan</v>
      </c>
      <c r="E384" s="5" t="str">
        <f>+WORLDCUP!BD59</f>
        <v>Bosnia and Herzegovina</v>
      </c>
      <c r="F384" s="5" t="str">
        <f>+WORLDCUP!BD63</f>
        <v>Japan</v>
      </c>
      <c r="G384" s="5" t="str">
        <f>+WORLDCUP!BD58</f>
        <v>Mexico</v>
      </c>
      <c r="H384" s="5" t="str">
        <f>+WORLDCUP!BD64</f>
        <v>Egypt</v>
      </c>
      <c r="I384" s="5" t="str">
        <f>+WORLDCUP!BD69</f>
        <v>Ghana</v>
      </c>
      <c r="J384" s="5" t="str">
        <f>+WORLDCUP!BD66</f>
        <v>Senegal</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Scotland</v>
      </c>
      <c r="D385" s="5" t="str">
        <f>+WORLDCUP!BD67</f>
        <v>Jordan</v>
      </c>
      <c r="E385" s="5" t="str">
        <f>+WORLDCUP!BD59</f>
        <v>Bosnia and Herzegovina</v>
      </c>
      <c r="F385" s="5" t="str">
        <f>+WORLDCUP!BD63</f>
        <v>Japan</v>
      </c>
      <c r="G385" s="5" t="str">
        <f>+WORLDCUP!BD58</f>
        <v>Mexico</v>
      </c>
      <c r="H385" s="5" t="str">
        <f>+WORLDCUP!BD64</f>
        <v>Egypt</v>
      </c>
      <c r="I385" s="5" t="str">
        <f>+WORLDCUP!BD66</f>
        <v>Senegal</v>
      </c>
      <c r="J385" s="5" t="str">
        <f>+WORLDCUP!BD68</f>
        <v>DR Congo</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Saudi Arabia</v>
      </c>
      <c r="D386" s="5" t="str">
        <f>+WORLDCUP!BD64</f>
        <v>Egypt</v>
      </c>
      <c r="E386" s="5" t="str">
        <f>+WORLDCUP!BD59</f>
        <v>Bosnia and Herzegovina</v>
      </c>
      <c r="F386" s="5" t="str">
        <f>+WORLDCUP!BD60</f>
        <v>Scotland</v>
      </c>
      <c r="G386" s="5" t="str">
        <f>+WORLDCUP!BD58</f>
        <v>Mexico</v>
      </c>
      <c r="H386" s="5" t="str">
        <f>+WORLDCUP!BD63</f>
        <v>Japan</v>
      </c>
      <c r="I386" s="5" t="str">
        <f>+WORLDCUP!BD69</f>
        <v>Ghana</v>
      </c>
      <c r="J386" s="5" t="str">
        <f>+WORLDCUP!BD68</f>
        <v>DR Congo</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Saudi Arabia</v>
      </c>
      <c r="D387" s="5" t="str">
        <f>+WORLDCUP!BD64</f>
        <v>Egypt</v>
      </c>
      <c r="E387" s="5" t="str">
        <f>+WORLDCUP!BD59</f>
        <v>Bosnia and Herzegovina</v>
      </c>
      <c r="F387" s="5" t="str">
        <f>+WORLDCUP!BD60</f>
        <v>Scotland</v>
      </c>
      <c r="G387" s="5" t="str">
        <f>+WORLDCUP!BD58</f>
        <v>Mexico</v>
      </c>
      <c r="H387" s="5" t="str">
        <f>+WORLDCUP!BD63</f>
        <v>Japan</v>
      </c>
      <c r="I387" s="5" t="str">
        <f>+WORLDCUP!BD69</f>
        <v>Ghana</v>
      </c>
      <c r="J387" s="5" t="str">
        <f>+WORLDCUP!BD67</f>
        <v>Jordan</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Saudi Arabia</v>
      </c>
      <c r="D388" s="5" t="str">
        <f>+WORLDCUP!BD64</f>
        <v>Egypt</v>
      </c>
      <c r="E388" s="5" t="str">
        <f>+WORLDCUP!BD59</f>
        <v>Bosnia and Herzegovina</v>
      </c>
      <c r="F388" s="5" t="str">
        <f>+WORLDCUP!BD60</f>
        <v>Scotland</v>
      </c>
      <c r="G388" s="5" t="str">
        <f>+WORLDCUP!BD58</f>
        <v>Mexico</v>
      </c>
      <c r="H388" s="5" t="str">
        <f>+WORLDCUP!BD63</f>
        <v>Japan</v>
      </c>
      <c r="I388" s="5" t="str">
        <f>+WORLDCUP!BD67</f>
        <v>Jordan</v>
      </c>
      <c r="J388" s="5" t="str">
        <f>+WORLDCUP!BD68</f>
        <v>DR Congo</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Saudi Arabia</v>
      </c>
      <c r="D389" s="5" t="str">
        <f>+WORLDCUP!BD64</f>
        <v>Egypt</v>
      </c>
      <c r="E389" s="5" t="str">
        <f>+WORLDCUP!BD59</f>
        <v>Bosnia and Herzegovina</v>
      </c>
      <c r="F389" s="5" t="str">
        <f>+WORLDCUP!BD60</f>
        <v>Scotland</v>
      </c>
      <c r="G389" s="5" t="str">
        <f>+WORLDCUP!BD58</f>
        <v>Mexico</v>
      </c>
      <c r="H389" s="5" t="str">
        <f>+WORLDCUP!BD63</f>
        <v>Japan</v>
      </c>
      <c r="I389" s="5" t="str">
        <f>+WORLDCUP!BD69</f>
        <v>Ghana</v>
      </c>
      <c r="J389" s="5" t="str">
        <f>+WORLDCUP!BD66</f>
        <v>Senegal</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Saudi Arabia</v>
      </c>
      <c r="D390" s="5" t="str">
        <f>+WORLDCUP!BD64</f>
        <v>Egypt</v>
      </c>
      <c r="E390" s="5" t="str">
        <f>+WORLDCUP!BD59</f>
        <v>Bosnia and Herzegovina</v>
      </c>
      <c r="F390" s="5" t="str">
        <f>+WORLDCUP!BD60</f>
        <v>Scotland</v>
      </c>
      <c r="G390" s="5" t="str">
        <f>+WORLDCUP!BD58</f>
        <v>Mexico</v>
      </c>
      <c r="H390" s="5" t="str">
        <f>+WORLDCUP!BD63</f>
        <v>Japan</v>
      </c>
      <c r="I390" s="5" t="str">
        <f>+WORLDCUP!BD66</f>
        <v>Senegal</v>
      </c>
      <c r="J390" s="5" t="str">
        <f>+WORLDCUP!BD68</f>
        <v>DR Congo</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Saudi Arabia</v>
      </c>
      <c r="D391" s="5" t="str">
        <f>+WORLDCUP!BD64</f>
        <v>Egypt</v>
      </c>
      <c r="E391" s="5" t="str">
        <f>+WORLDCUP!BD59</f>
        <v>Bosnia and Herzegovina</v>
      </c>
      <c r="F391" s="5" t="str">
        <f>+WORLDCUP!BD60</f>
        <v>Scotland</v>
      </c>
      <c r="G391" s="5" t="str">
        <f>+WORLDCUP!BD58</f>
        <v>Mexico</v>
      </c>
      <c r="H391" s="5" t="str">
        <f>+WORLDCUP!BD63</f>
        <v>Japan</v>
      </c>
      <c r="I391" s="5" t="str">
        <f>+WORLDCUP!BD66</f>
        <v>Senegal</v>
      </c>
      <c r="J391" s="5" t="str">
        <f>+WORLDCUP!BD67</f>
        <v>Jordan</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Curaçao</v>
      </c>
      <c r="D392" s="5" t="str">
        <f>+WORLDCUP!BD67</f>
        <v>Jordan</v>
      </c>
      <c r="E392" s="5" t="str">
        <f>+WORLDCUP!BD59</f>
        <v>Bosnia and Herzegovina</v>
      </c>
      <c r="F392" s="5" t="str">
        <f>+WORLDCUP!BD58</f>
        <v>Mexico</v>
      </c>
      <c r="G392" s="5" t="str">
        <f>+WORLDCUP!BD66</f>
        <v>Senegal</v>
      </c>
      <c r="H392" s="5" t="str">
        <f>+WORLDCUP!BD60</f>
        <v>Scotland</v>
      </c>
      <c r="I392" s="5" t="str">
        <f>+WORLDCUP!BD69</f>
        <v>Ghana</v>
      </c>
      <c r="J392" s="5" t="str">
        <f>+WORLDCUP!BD68</f>
        <v>DR Congo</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Curaçao</v>
      </c>
      <c r="D393" s="5" t="str">
        <f>+WORLDCUP!BD67</f>
        <v>Jordan</v>
      </c>
      <c r="E393" s="5" t="str">
        <f>+WORLDCUP!BD59</f>
        <v>Bosnia and Herzegovina</v>
      </c>
      <c r="F393" s="5" t="str">
        <f>+WORLDCUP!BD60</f>
        <v>Scotland</v>
      </c>
      <c r="G393" s="5" t="str">
        <f>+WORLDCUP!BD58</f>
        <v>Mexico</v>
      </c>
      <c r="H393" s="5" t="str">
        <f>+WORLDCUP!BD65</f>
        <v>Saudi Arabia</v>
      </c>
      <c r="I393" s="5" t="str">
        <f>+WORLDCUP!BD69</f>
        <v>Ghana</v>
      </c>
      <c r="J393" s="5" t="str">
        <f>+WORLDCUP!BD68</f>
        <v>DR Congo</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Curaçao</v>
      </c>
      <c r="D394" s="5" t="str">
        <f>+WORLDCUP!BD66</f>
        <v>Senegal</v>
      </c>
      <c r="E394" s="5" t="str">
        <f>+WORLDCUP!BD59</f>
        <v>Bosnia and Herzegovina</v>
      </c>
      <c r="F394" s="5" t="str">
        <f>+WORLDCUP!BD60</f>
        <v>Scotland</v>
      </c>
      <c r="G394" s="5" t="str">
        <f>+WORLDCUP!BD58</f>
        <v>Mexico</v>
      </c>
      <c r="H394" s="5" t="str">
        <f>+WORLDCUP!BD65</f>
        <v>Saudi Arabia</v>
      </c>
      <c r="I394" s="5" t="str">
        <f>+WORLDCUP!BD69</f>
        <v>Ghana</v>
      </c>
      <c r="J394" s="5" t="str">
        <f>+WORLDCUP!BD68</f>
        <v>DR Congo</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Curaçao</v>
      </c>
      <c r="D395" s="5" t="str">
        <f>+WORLDCUP!BD67</f>
        <v>Jordan</v>
      </c>
      <c r="E395" s="5" t="str">
        <f>+WORLDCUP!BD59</f>
        <v>Bosnia and Herzegovina</v>
      </c>
      <c r="F395" s="5" t="str">
        <f>+WORLDCUP!BD60</f>
        <v>Scotland</v>
      </c>
      <c r="G395" s="5" t="str">
        <f>+WORLDCUP!BD58</f>
        <v>Mexico</v>
      </c>
      <c r="H395" s="5" t="str">
        <f>+WORLDCUP!BD65</f>
        <v>Saudi Arabia</v>
      </c>
      <c r="I395" s="5" t="str">
        <f>+WORLDCUP!BD69</f>
        <v>Ghana</v>
      </c>
      <c r="J395" s="5" t="str">
        <f>+WORLDCUP!BD66</f>
        <v>Senegal</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Curaçao</v>
      </c>
      <c r="D396" s="5" t="str">
        <f>+WORLDCUP!BD67</f>
        <v>Jordan</v>
      </c>
      <c r="E396" s="5" t="str">
        <f>+WORLDCUP!BD59</f>
        <v>Bosnia and Herzegovina</v>
      </c>
      <c r="F396" s="5" t="str">
        <f>+WORLDCUP!BD60</f>
        <v>Scotland</v>
      </c>
      <c r="G396" s="5" t="str">
        <f>+WORLDCUP!BD58</f>
        <v>Mexico</v>
      </c>
      <c r="H396" s="5" t="str">
        <f>+WORLDCUP!BD65</f>
        <v>Saudi Arabia</v>
      </c>
      <c r="I396" s="5" t="str">
        <f>+WORLDCUP!BD66</f>
        <v>Senegal</v>
      </c>
      <c r="J396" s="5" t="str">
        <f>+WORLDCUP!BD68</f>
        <v>DR Congo</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Curaçao</v>
      </c>
      <c r="D397" s="5" t="str">
        <f>+WORLDCUP!BD67</f>
        <v>Jordan</v>
      </c>
      <c r="E397" s="5" t="str">
        <f>+WORLDCUP!BD59</f>
        <v>Bosnia and Herzegovina</v>
      </c>
      <c r="F397" s="5" t="str">
        <f>+WORLDCUP!BD60</f>
        <v>Scotland</v>
      </c>
      <c r="G397" s="5" t="str">
        <f>+WORLDCUP!BD58</f>
        <v>Mexico</v>
      </c>
      <c r="H397" s="5" t="str">
        <f>+WORLDCUP!BD64</f>
        <v>Egypt</v>
      </c>
      <c r="I397" s="5" t="str">
        <f>+WORLDCUP!BD69</f>
        <v>Ghana</v>
      </c>
      <c r="J397" s="5" t="str">
        <f>+WORLDCUP!BD68</f>
        <v>DR Congo</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Curaçao</v>
      </c>
      <c r="D398" s="5" t="str">
        <f>+WORLDCUP!BD64</f>
        <v>Egypt</v>
      </c>
      <c r="E398" s="5" t="str">
        <f>+WORLDCUP!BD59</f>
        <v>Bosnia and Herzegovina</v>
      </c>
      <c r="F398" s="5" t="str">
        <f>+WORLDCUP!BD58</f>
        <v>Mexico</v>
      </c>
      <c r="G398" s="5" t="str">
        <f>+WORLDCUP!BD66</f>
        <v>Senegal</v>
      </c>
      <c r="H398" s="5" t="str">
        <f>+WORLDCUP!BD60</f>
        <v>Scotland</v>
      </c>
      <c r="I398" s="5" t="str">
        <f>+WORLDCUP!BD69</f>
        <v>Ghana</v>
      </c>
      <c r="J398" s="5" t="str">
        <f>+WORLDCUP!BD68</f>
        <v>DR Congo</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Curaçao</v>
      </c>
      <c r="D399" s="5" t="str">
        <f>+WORLDCUP!BD67</f>
        <v>Jordan</v>
      </c>
      <c r="E399" s="5" t="str">
        <f>+WORLDCUP!BD59</f>
        <v>Bosnia and Herzegovina</v>
      </c>
      <c r="F399" s="5" t="str">
        <f>+WORLDCUP!BD60</f>
        <v>Scotland</v>
      </c>
      <c r="G399" s="5" t="str">
        <f>+WORLDCUP!BD58</f>
        <v>Mexico</v>
      </c>
      <c r="H399" s="5" t="str">
        <f>+WORLDCUP!BD64</f>
        <v>Egypt</v>
      </c>
      <c r="I399" s="5" t="str">
        <f>+WORLDCUP!BD69</f>
        <v>Ghana</v>
      </c>
      <c r="J399" s="5" t="str">
        <f>+WORLDCUP!BD66</f>
        <v>Senegal</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Curaçao</v>
      </c>
      <c r="D400" s="5" t="str">
        <f>+WORLDCUP!BD67</f>
        <v>Jordan</v>
      </c>
      <c r="E400" s="5" t="str">
        <f>+WORLDCUP!BD59</f>
        <v>Bosnia and Herzegovina</v>
      </c>
      <c r="F400" s="5" t="str">
        <f>+WORLDCUP!BD60</f>
        <v>Scotland</v>
      </c>
      <c r="G400" s="5" t="str">
        <f>+WORLDCUP!BD58</f>
        <v>Mexico</v>
      </c>
      <c r="H400" s="5" t="str">
        <f>+WORLDCUP!BD64</f>
        <v>Egypt</v>
      </c>
      <c r="I400" s="5" t="str">
        <f>+WORLDCUP!BD66</f>
        <v>Senegal</v>
      </c>
      <c r="J400" s="5" t="str">
        <f>+WORLDCUP!BD68</f>
        <v>DR Congo</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Curaçao</v>
      </c>
      <c r="D401" s="5" t="str">
        <f>+WORLDCUP!BD64</f>
        <v>Egypt</v>
      </c>
      <c r="E401" s="5" t="str">
        <f>+WORLDCUP!BD59</f>
        <v>Bosnia and Herzegovina</v>
      </c>
      <c r="F401" s="5" t="str">
        <f>+WORLDCUP!BD60</f>
        <v>Scotland</v>
      </c>
      <c r="G401" s="5" t="str">
        <f>+WORLDCUP!BD58</f>
        <v>Mexico</v>
      </c>
      <c r="H401" s="5" t="str">
        <f>+WORLDCUP!BD65</f>
        <v>Saudi Arabia</v>
      </c>
      <c r="I401" s="5" t="str">
        <f>+WORLDCUP!BD69</f>
        <v>Ghana</v>
      </c>
      <c r="J401" s="5" t="str">
        <f>+WORLDCUP!BD68</f>
        <v>DR Congo</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Saudi Arabia</v>
      </c>
      <c r="D402" s="5" t="str">
        <f>+WORLDCUP!BD67</f>
        <v>Jordan</v>
      </c>
      <c r="E402" s="5" t="str">
        <f>+WORLDCUP!BD59</f>
        <v>Bosnia and Herzegovina</v>
      </c>
      <c r="F402" s="5" t="str">
        <f>+WORLDCUP!BD60</f>
        <v>Scotland</v>
      </c>
      <c r="G402" s="5" t="str">
        <f>+WORLDCUP!BD58</f>
        <v>Mexico</v>
      </c>
      <c r="H402" s="5" t="str">
        <f>+WORLDCUP!BD64</f>
        <v>Egypt</v>
      </c>
      <c r="I402" s="5" t="str">
        <f>+WORLDCUP!BD69</f>
        <v>Ghana</v>
      </c>
      <c r="J402" s="5" t="str">
        <f>+WORLDCUP!BD62</f>
        <v>Curaçao</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Saudi Arabia</v>
      </c>
      <c r="D403" s="5" t="str">
        <f>+WORLDCUP!BD67</f>
        <v>Jordan</v>
      </c>
      <c r="E403" s="5" t="str">
        <f>+WORLDCUP!BD59</f>
        <v>Bosnia and Herzegovina</v>
      </c>
      <c r="F403" s="5" t="str">
        <f>+WORLDCUP!BD60</f>
        <v>Scotland</v>
      </c>
      <c r="G403" s="5" t="str">
        <f>+WORLDCUP!BD58</f>
        <v>Mexico</v>
      </c>
      <c r="H403" s="5" t="str">
        <f>+WORLDCUP!BD64</f>
        <v>Egypt</v>
      </c>
      <c r="I403" s="5" t="str">
        <f>+WORLDCUP!BD62</f>
        <v>Curaçao</v>
      </c>
      <c r="J403" s="5" t="str">
        <f>+WORLDCUP!BD68</f>
        <v>DR Congo</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Curaçao</v>
      </c>
      <c r="D404" s="5" t="str">
        <f>+WORLDCUP!BD64</f>
        <v>Egypt</v>
      </c>
      <c r="E404" s="5" t="str">
        <f>+WORLDCUP!BD59</f>
        <v>Bosnia and Herzegovina</v>
      </c>
      <c r="F404" s="5" t="str">
        <f>+WORLDCUP!BD60</f>
        <v>Scotland</v>
      </c>
      <c r="G404" s="5" t="str">
        <f>+WORLDCUP!BD58</f>
        <v>Mexico</v>
      </c>
      <c r="H404" s="5" t="str">
        <f>+WORLDCUP!BD65</f>
        <v>Saudi Arabia</v>
      </c>
      <c r="I404" s="5" t="str">
        <f>+WORLDCUP!BD69</f>
        <v>Ghana</v>
      </c>
      <c r="J404" s="5" t="str">
        <f>+WORLDCUP!BD66</f>
        <v>Senegal</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Curaçao</v>
      </c>
      <c r="D405" s="5" t="str">
        <f>+WORLDCUP!BD64</f>
        <v>Egypt</v>
      </c>
      <c r="E405" s="5" t="str">
        <f>+WORLDCUP!BD59</f>
        <v>Bosnia and Herzegovina</v>
      </c>
      <c r="F405" s="5" t="str">
        <f>+WORLDCUP!BD60</f>
        <v>Scotland</v>
      </c>
      <c r="G405" s="5" t="str">
        <f>+WORLDCUP!BD58</f>
        <v>Mexico</v>
      </c>
      <c r="H405" s="5" t="str">
        <f>+WORLDCUP!BD65</f>
        <v>Saudi Arabia</v>
      </c>
      <c r="I405" s="5" t="str">
        <f>+WORLDCUP!BD66</f>
        <v>Senegal</v>
      </c>
      <c r="J405" s="5" t="str">
        <f>+WORLDCUP!BD68</f>
        <v>DR Congo</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Saudi Arabia</v>
      </c>
      <c r="D406" s="5" t="str">
        <f>+WORLDCUP!BD67</f>
        <v>Jordan</v>
      </c>
      <c r="E406" s="5" t="str">
        <f>+WORLDCUP!BD59</f>
        <v>Bosnia and Herzegovina</v>
      </c>
      <c r="F406" s="5" t="str">
        <f>+WORLDCUP!BD60</f>
        <v>Scotland</v>
      </c>
      <c r="G406" s="5" t="str">
        <f>+WORLDCUP!BD58</f>
        <v>Mexico</v>
      </c>
      <c r="H406" s="5" t="str">
        <f>+WORLDCUP!BD64</f>
        <v>Egypt</v>
      </c>
      <c r="I406" s="5" t="str">
        <f>+WORLDCUP!BD62</f>
        <v>Curaçao</v>
      </c>
      <c r="J406" s="5" t="str">
        <f>+WORLDCUP!BD66</f>
        <v>Senegal</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Curaçao</v>
      </c>
      <c r="D407" s="5" t="str">
        <f>+WORLDCUP!BD67</f>
        <v>Jordan</v>
      </c>
      <c r="E407" s="5" t="str">
        <f>+WORLDCUP!BD59</f>
        <v>Bosnia and Herzegovina</v>
      </c>
      <c r="F407" s="5" t="str">
        <f>+WORLDCUP!BD60</f>
        <v>Scotland</v>
      </c>
      <c r="G407" s="5" t="str">
        <f>+WORLDCUP!BD58</f>
        <v>Mexico</v>
      </c>
      <c r="H407" s="5" t="str">
        <f>+WORLDCUP!BD63</f>
        <v>Japan</v>
      </c>
      <c r="I407" s="5" t="str">
        <f>+WORLDCUP!BD69</f>
        <v>Ghana</v>
      </c>
      <c r="J407" s="5" t="str">
        <f>+WORLDCUP!BD68</f>
        <v>DR Congo</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Curaçao</v>
      </c>
      <c r="D408" s="5" t="str">
        <f>+WORLDCUP!BD66</f>
        <v>Senegal</v>
      </c>
      <c r="E408" s="5" t="str">
        <f>+WORLDCUP!BD59</f>
        <v>Bosnia and Herzegovina</v>
      </c>
      <c r="F408" s="5" t="str">
        <f>+WORLDCUP!BD60</f>
        <v>Scotland</v>
      </c>
      <c r="G408" s="5" t="str">
        <f>+WORLDCUP!BD58</f>
        <v>Mexico</v>
      </c>
      <c r="H408" s="5" t="str">
        <f>+WORLDCUP!BD63</f>
        <v>Japan</v>
      </c>
      <c r="I408" s="5" t="str">
        <f>+WORLDCUP!BD69</f>
        <v>Ghana</v>
      </c>
      <c r="J408" s="5" t="str">
        <f>+WORLDCUP!BD68</f>
        <v>DR Congo</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Curaçao</v>
      </c>
      <c r="D409" s="5" t="str">
        <f>+WORLDCUP!BD67</f>
        <v>Jordan</v>
      </c>
      <c r="E409" s="5" t="str">
        <f>+WORLDCUP!BD59</f>
        <v>Bosnia and Herzegovina</v>
      </c>
      <c r="F409" s="5" t="str">
        <f>+WORLDCUP!BD60</f>
        <v>Scotland</v>
      </c>
      <c r="G409" s="5" t="str">
        <f>+WORLDCUP!BD58</f>
        <v>Mexico</v>
      </c>
      <c r="H409" s="5" t="str">
        <f>+WORLDCUP!BD63</f>
        <v>Japan</v>
      </c>
      <c r="I409" s="5" t="str">
        <f>+WORLDCUP!BD69</f>
        <v>Ghana</v>
      </c>
      <c r="J409" s="5" t="str">
        <f>+WORLDCUP!BD66</f>
        <v>Senegal</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Curaçao</v>
      </c>
      <c r="D410" s="5" t="str">
        <f>+WORLDCUP!BD67</f>
        <v>Jordan</v>
      </c>
      <c r="E410" s="5" t="str">
        <f>+WORLDCUP!BD59</f>
        <v>Bosnia and Herzegovina</v>
      </c>
      <c r="F410" s="5" t="str">
        <f>+WORLDCUP!BD60</f>
        <v>Scotland</v>
      </c>
      <c r="G410" s="5" t="str">
        <f>+WORLDCUP!BD58</f>
        <v>Mexico</v>
      </c>
      <c r="H410" s="5" t="str">
        <f>+WORLDCUP!BD63</f>
        <v>Japan</v>
      </c>
      <c r="I410" s="5" t="str">
        <f>+WORLDCUP!BD66</f>
        <v>Senegal</v>
      </c>
      <c r="J410" s="5" t="str">
        <f>+WORLDCUP!BD68</f>
        <v>DR Congo</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Saudi Arabia</v>
      </c>
      <c r="D411" s="5" t="str">
        <f>+WORLDCUP!BD62</f>
        <v>Curaçao</v>
      </c>
      <c r="E411" s="5" t="str">
        <f>+WORLDCUP!BD59</f>
        <v>Bosnia and Herzegovina</v>
      </c>
      <c r="F411" s="5" t="str">
        <f>+WORLDCUP!BD60</f>
        <v>Scotland</v>
      </c>
      <c r="G411" s="5" t="str">
        <f>+WORLDCUP!BD58</f>
        <v>Mexico</v>
      </c>
      <c r="H411" s="5" t="str">
        <f>+WORLDCUP!BD63</f>
        <v>Japan</v>
      </c>
      <c r="I411" s="5" t="str">
        <f>+WORLDCUP!BD69</f>
        <v>Ghana</v>
      </c>
      <c r="J411" s="5" t="str">
        <f>+WORLDCUP!BD68</f>
        <v>DR Congo</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Saudi Arabia</v>
      </c>
      <c r="D412" s="5" t="str">
        <f>+WORLDCUP!BD67</f>
        <v>Jordan</v>
      </c>
      <c r="E412" s="5" t="str">
        <f>+WORLDCUP!BD59</f>
        <v>Bosnia and Herzegovina</v>
      </c>
      <c r="F412" s="5" t="str">
        <f>+WORLDCUP!BD60</f>
        <v>Scotland</v>
      </c>
      <c r="G412" s="5" t="str">
        <f>+WORLDCUP!BD58</f>
        <v>Mexico</v>
      </c>
      <c r="H412" s="5" t="str">
        <f>+WORLDCUP!BD63</f>
        <v>Japan</v>
      </c>
      <c r="I412" s="5" t="str">
        <f>+WORLDCUP!BD69</f>
        <v>Ghana</v>
      </c>
      <c r="J412" s="5" t="str">
        <f>+WORLDCUP!BD62</f>
        <v>Curaçao</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Saudi Arabia</v>
      </c>
      <c r="D413" s="5" t="str">
        <f>+WORLDCUP!BD67</f>
        <v>Jordan</v>
      </c>
      <c r="E413" s="5" t="str">
        <f>+WORLDCUP!BD59</f>
        <v>Bosnia and Herzegovina</v>
      </c>
      <c r="F413" s="5" t="str">
        <f>+WORLDCUP!BD60</f>
        <v>Scotland</v>
      </c>
      <c r="G413" s="5" t="str">
        <f>+WORLDCUP!BD58</f>
        <v>Mexico</v>
      </c>
      <c r="H413" s="5" t="str">
        <f>+WORLDCUP!BD63</f>
        <v>Japan</v>
      </c>
      <c r="I413" s="5" t="str">
        <f>+WORLDCUP!BD62</f>
        <v>Curaçao</v>
      </c>
      <c r="J413" s="5" t="str">
        <f>+WORLDCUP!BD68</f>
        <v>DR Congo</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Saudi Arabia</v>
      </c>
      <c r="D414" s="5" t="str">
        <f>+WORLDCUP!BD62</f>
        <v>Curaçao</v>
      </c>
      <c r="E414" s="5" t="str">
        <f>+WORLDCUP!BD59</f>
        <v>Bosnia and Herzegovina</v>
      </c>
      <c r="F414" s="5" t="str">
        <f>+WORLDCUP!BD60</f>
        <v>Scotland</v>
      </c>
      <c r="G414" s="5" t="str">
        <f>+WORLDCUP!BD58</f>
        <v>Mexico</v>
      </c>
      <c r="H414" s="5" t="str">
        <f>+WORLDCUP!BD63</f>
        <v>Japan</v>
      </c>
      <c r="I414" s="5" t="str">
        <f>+WORLDCUP!BD69</f>
        <v>Ghana</v>
      </c>
      <c r="J414" s="5" t="str">
        <f>+WORLDCUP!BD66</f>
        <v>Senegal</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Saudi Arabia</v>
      </c>
      <c r="D415" s="5" t="str">
        <f>+WORLDCUP!BD62</f>
        <v>Curaçao</v>
      </c>
      <c r="E415" s="5" t="str">
        <f>+WORLDCUP!BD59</f>
        <v>Bosnia and Herzegovina</v>
      </c>
      <c r="F415" s="5" t="str">
        <f>+WORLDCUP!BD60</f>
        <v>Scotland</v>
      </c>
      <c r="G415" s="5" t="str">
        <f>+WORLDCUP!BD58</f>
        <v>Mexico</v>
      </c>
      <c r="H415" s="5" t="str">
        <f>+WORLDCUP!BD63</f>
        <v>Japan</v>
      </c>
      <c r="I415" s="5" t="str">
        <f>+WORLDCUP!BD66</f>
        <v>Senegal</v>
      </c>
      <c r="J415" s="5" t="str">
        <f>+WORLDCUP!BD68</f>
        <v>DR Congo</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Saudi Arabia</v>
      </c>
      <c r="D416" s="5" t="str">
        <f>+WORLDCUP!BD67</f>
        <v>Jordan</v>
      </c>
      <c r="E416" s="5" t="str">
        <f>+WORLDCUP!BD59</f>
        <v>Bosnia and Herzegovina</v>
      </c>
      <c r="F416" s="5" t="str">
        <f>+WORLDCUP!BD60</f>
        <v>Scotland</v>
      </c>
      <c r="G416" s="5" t="str">
        <f>+WORLDCUP!BD58</f>
        <v>Mexico</v>
      </c>
      <c r="H416" s="5" t="str">
        <f>+WORLDCUP!BD63</f>
        <v>Japan</v>
      </c>
      <c r="I416" s="5" t="str">
        <f>+WORLDCUP!BD62</f>
        <v>Curaçao</v>
      </c>
      <c r="J416" s="5" t="str">
        <f>+WORLDCUP!BD66</f>
        <v>Senegal</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Curaçao</v>
      </c>
      <c r="D417" s="5" t="str">
        <f>+WORLDCUP!BD64</f>
        <v>Egypt</v>
      </c>
      <c r="E417" s="5" t="str">
        <f>+WORLDCUP!BD59</f>
        <v>Bosnia and Herzegovina</v>
      </c>
      <c r="F417" s="5" t="str">
        <f>+WORLDCUP!BD60</f>
        <v>Scotland</v>
      </c>
      <c r="G417" s="5" t="str">
        <f>+WORLDCUP!BD58</f>
        <v>Mexico</v>
      </c>
      <c r="H417" s="5" t="str">
        <f>+WORLDCUP!BD63</f>
        <v>Japan</v>
      </c>
      <c r="I417" s="5" t="str">
        <f>+WORLDCUP!BD69</f>
        <v>Ghana</v>
      </c>
      <c r="J417" s="5" t="str">
        <f>+WORLDCUP!BD68</f>
        <v>DR Congo</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Curaçao</v>
      </c>
      <c r="D418" s="5" t="str">
        <f>+WORLDCUP!BD64</f>
        <v>Egypt</v>
      </c>
      <c r="E418" s="5" t="str">
        <f>+WORLDCUP!BD59</f>
        <v>Bosnia and Herzegovina</v>
      </c>
      <c r="F418" s="5" t="str">
        <f>+WORLDCUP!BD60</f>
        <v>Scotland</v>
      </c>
      <c r="G418" s="5" t="str">
        <f>+WORLDCUP!BD58</f>
        <v>Mexico</v>
      </c>
      <c r="H418" s="5" t="str">
        <f>+WORLDCUP!BD63</f>
        <v>Japan</v>
      </c>
      <c r="I418" s="5" t="str">
        <f>+WORLDCUP!BD69</f>
        <v>Ghana</v>
      </c>
      <c r="J418" s="5" t="str">
        <f>+WORLDCUP!BD67</f>
        <v>Jordan</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Curaçao</v>
      </c>
      <c r="D419" s="5" t="str">
        <f>+WORLDCUP!BD64</f>
        <v>Egypt</v>
      </c>
      <c r="E419" s="5" t="str">
        <f>+WORLDCUP!BD59</f>
        <v>Bosnia and Herzegovina</v>
      </c>
      <c r="F419" s="5" t="str">
        <f>+WORLDCUP!BD60</f>
        <v>Scotland</v>
      </c>
      <c r="G419" s="5" t="str">
        <f>+WORLDCUP!BD58</f>
        <v>Mexico</v>
      </c>
      <c r="H419" s="5" t="str">
        <f>+WORLDCUP!BD63</f>
        <v>Japan</v>
      </c>
      <c r="I419" s="5" t="str">
        <f>+WORLDCUP!BD67</f>
        <v>Jordan</v>
      </c>
      <c r="J419" s="5" t="str">
        <f>+WORLDCUP!BD68</f>
        <v>DR Congo</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Curaçao</v>
      </c>
      <c r="D420" s="5" t="str">
        <f>+WORLDCUP!BD64</f>
        <v>Egypt</v>
      </c>
      <c r="E420" s="5" t="str">
        <f>+WORLDCUP!BD59</f>
        <v>Bosnia and Herzegovina</v>
      </c>
      <c r="F420" s="5" t="str">
        <f>+WORLDCUP!BD60</f>
        <v>Scotland</v>
      </c>
      <c r="G420" s="5" t="str">
        <f>+WORLDCUP!BD58</f>
        <v>Mexico</v>
      </c>
      <c r="H420" s="5" t="str">
        <f>+WORLDCUP!BD63</f>
        <v>Japan</v>
      </c>
      <c r="I420" s="5" t="str">
        <f>+WORLDCUP!BD69</f>
        <v>Ghana</v>
      </c>
      <c r="J420" s="5" t="str">
        <f>+WORLDCUP!BD66</f>
        <v>Senegal</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Curaçao</v>
      </c>
      <c r="D421" s="5" t="str">
        <f>+WORLDCUP!BD64</f>
        <v>Egypt</v>
      </c>
      <c r="E421" s="5" t="str">
        <f>+WORLDCUP!BD59</f>
        <v>Bosnia and Herzegovina</v>
      </c>
      <c r="F421" s="5" t="str">
        <f>+WORLDCUP!BD60</f>
        <v>Scotland</v>
      </c>
      <c r="G421" s="5" t="str">
        <f>+WORLDCUP!BD58</f>
        <v>Mexico</v>
      </c>
      <c r="H421" s="5" t="str">
        <f>+WORLDCUP!BD63</f>
        <v>Japan</v>
      </c>
      <c r="I421" s="5" t="str">
        <f>+WORLDCUP!BD66</f>
        <v>Senegal</v>
      </c>
      <c r="J421" s="5" t="str">
        <f>+WORLDCUP!BD68</f>
        <v>DR Congo</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Curaçao</v>
      </c>
      <c r="D422" s="5" t="str">
        <f>+WORLDCUP!BD64</f>
        <v>Egypt</v>
      </c>
      <c r="E422" s="5" t="str">
        <f>+WORLDCUP!BD59</f>
        <v>Bosnia and Herzegovina</v>
      </c>
      <c r="F422" s="5" t="str">
        <f>+WORLDCUP!BD60</f>
        <v>Scotland</v>
      </c>
      <c r="G422" s="5" t="str">
        <f>+WORLDCUP!BD58</f>
        <v>Mexico</v>
      </c>
      <c r="H422" s="5" t="str">
        <f>+WORLDCUP!BD63</f>
        <v>Japan</v>
      </c>
      <c r="I422" s="5" t="str">
        <f>+WORLDCUP!BD66</f>
        <v>Senegal</v>
      </c>
      <c r="J422" s="5" t="str">
        <f>+WORLDCUP!BD67</f>
        <v>Jordan</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Saudi Arabia</v>
      </c>
      <c r="D423" s="5" t="str">
        <f>+WORLDCUP!BD64</f>
        <v>Egypt</v>
      </c>
      <c r="E423" s="5" t="str">
        <f>+WORLDCUP!BD59</f>
        <v>Bosnia and Herzegovina</v>
      </c>
      <c r="F423" s="5" t="str">
        <f>+WORLDCUP!BD60</f>
        <v>Scotland</v>
      </c>
      <c r="G423" s="5" t="str">
        <f>+WORLDCUP!BD58</f>
        <v>Mexico</v>
      </c>
      <c r="H423" s="5" t="str">
        <f>+WORLDCUP!BD63</f>
        <v>Japan</v>
      </c>
      <c r="I423" s="5" t="str">
        <f>+WORLDCUP!BD69</f>
        <v>Ghana</v>
      </c>
      <c r="J423" s="5" t="str">
        <f>+WORLDCUP!BD62</f>
        <v>Curaçao</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Saudi Arabia</v>
      </c>
      <c r="D424" s="5" t="str">
        <f>+WORLDCUP!BD64</f>
        <v>Egypt</v>
      </c>
      <c r="E424" s="5" t="str">
        <f>+WORLDCUP!BD59</f>
        <v>Bosnia and Herzegovina</v>
      </c>
      <c r="F424" s="5" t="str">
        <f>+WORLDCUP!BD60</f>
        <v>Scotland</v>
      </c>
      <c r="G424" s="5" t="str">
        <f>+WORLDCUP!BD58</f>
        <v>Mexico</v>
      </c>
      <c r="H424" s="5" t="str">
        <f>+WORLDCUP!BD63</f>
        <v>Japan</v>
      </c>
      <c r="I424" s="5" t="str">
        <f>+WORLDCUP!BD62</f>
        <v>Curaçao</v>
      </c>
      <c r="J424" s="5" t="str">
        <f>+WORLDCUP!BD68</f>
        <v>DR Congo</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Saudi Arabia</v>
      </c>
      <c r="D425" s="5" t="str">
        <f>+WORLDCUP!BD64</f>
        <v>Egypt</v>
      </c>
      <c r="E425" s="5" t="str">
        <f>+WORLDCUP!BD59</f>
        <v>Bosnia and Herzegovina</v>
      </c>
      <c r="F425" s="5" t="str">
        <f>+WORLDCUP!BD60</f>
        <v>Scotland</v>
      </c>
      <c r="G425" s="5" t="str">
        <f>+WORLDCUP!BD58</f>
        <v>Mexico</v>
      </c>
      <c r="H425" s="5" t="str">
        <f>+WORLDCUP!BD63</f>
        <v>Japan</v>
      </c>
      <c r="I425" s="5" t="str">
        <f>+WORLDCUP!BD62</f>
        <v>Curaçao</v>
      </c>
      <c r="J425" s="5" t="str">
        <f>+WORLDCUP!BD67</f>
        <v>Jordan</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Saudi Arabia</v>
      </c>
      <c r="D426" s="5" t="str">
        <f>+WORLDCUP!BD64</f>
        <v>Egypt</v>
      </c>
      <c r="E426" s="5" t="str">
        <f>+WORLDCUP!BD59</f>
        <v>Bosnia and Herzegovina</v>
      </c>
      <c r="F426" s="5" t="str">
        <f>+WORLDCUP!BD60</f>
        <v>Scotland</v>
      </c>
      <c r="G426" s="5" t="str">
        <f>+WORLDCUP!BD58</f>
        <v>Mexico</v>
      </c>
      <c r="H426" s="5" t="str">
        <f>+WORLDCUP!BD63</f>
        <v>Japan</v>
      </c>
      <c r="I426" s="5" t="str">
        <f>+WORLDCUP!BD62</f>
        <v>Curaçao</v>
      </c>
      <c r="J426" s="5" t="str">
        <f>+WORLDCUP!BD66</f>
        <v>Senegal</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Senegal</v>
      </c>
      <c r="D427" s="5" t="str">
        <f>+WORLDCUP!BD67</f>
        <v>Jordan</v>
      </c>
      <c r="E427" s="5" t="str">
        <f>+WORLDCUP!BD59</f>
        <v>Bosnia and Herzegovina</v>
      </c>
      <c r="F427" s="5" t="str">
        <f>+WORLDCUP!BD60</f>
        <v>Scotland</v>
      </c>
      <c r="G427" s="5" t="str">
        <f>+WORLDCUP!BD58</f>
        <v>Mexico</v>
      </c>
      <c r="H427" s="5" t="str">
        <f>+WORLDCUP!BD61</f>
        <v>Paraguay</v>
      </c>
      <c r="I427" s="5" t="str">
        <f>+WORLDCUP!BD69</f>
        <v>Ghana</v>
      </c>
      <c r="J427" s="5" t="str">
        <f>+WORLDCUP!BD68</f>
        <v>DR Congo</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Saudi Arabia</v>
      </c>
      <c r="D428" s="5" t="str">
        <f>+WORLDCUP!BD67</f>
        <v>Jordan</v>
      </c>
      <c r="E428" s="5" t="str">
        <f>+WORLDCUP!BD59</f>
        <v>Bosnia and Herzegovina</v>
      </c>
      <c r="F428" s="5" t="str">
        <f>+WORLDCUP!BD60</f>
        <v>Scotland</v>
      </c>
      <c r="G428" s="5" t="str">
        <f>+WORLDCUP!BD58</f>
        <v>Mexico</v>
      </c>
      <c r="H428" s="5" t="str">
        <f>+WORLDCUP!BD61</f>
        <v>Paraguay</v>
      </c>
      <c r="I428" s="5" t="str">
        <f>+WORLDCUP!BD69</f>
        <v>Ghana</v>
      </c>
      <c r="J428" s="5" t="str">
        <f>+WORLDCUP!BD68</f>
        <v>DR Congo</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Saudi Arabia</v>
      </c>
      <c r="D429" s="5" t="str">
        <f>+WORLDCUP!BD66</f>
        <v>Senegal</v>
      </c>
      <c r="E429" s="5" t="str">
        <f>+WORLDCUP!BD59</f>
        <v>Bosnia and Herzegovina</v>
      </c>
      <c r="F429" s="5" t="str">
        <f>+WORLDCUP!BD60</f>
        <v>Scotland</v>
      </c>
      <c r="G429" s="5" t="str">
        <f>+WORLDCUP!BD58</f>
        <v>Mexico</v>
      </c>
      <c r="H429" s="5" t="str">
        <f>+WORLDCUP!BD61</f>
        <v>Paraguay</v>
      </c>
      <c r="I429" s="5" t="str">
        <f>+WORLDCUP!BD69</f>
        <v>Ghana</v>
      </c>
      <c r="J429" s="5" t="str">
        <f>+WORLDCUP!BD68</f>
        <v>DR Congo</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Saudi Arabia</v>
      </c>
      <c r="D430" s="5" t="str">
        <f>+WORLDCUP!BD67</f>
        <v>Jordan</v>
      </c>
      <c r="E430" s="5" t="str">
        <f>+WORLDCUP!BD59</f>
        <v>Bosnia and Herzegovina</v>
      </c>
      <c r="F430" s="5" t="str">
        <f>+WORLDCUP!BD60</f>
        <v>Scotland</v>
      </c>
      <c r="G430" s="5" t="str">
        <f>+WORLDCUP!BD58</f>
        <v>Mexico</v>
      </c>
      <c r="H430" s="5" t="str">
        <f>+WORLDCUP!BD61</f>
        <v>Paraguay</v>
      </c>
      <c r="I430" s="5" t="str">
        <f>+WORLDCUP!BD69</f>
        <v>Ghana</v>
      </c>
      <c r="J430" s="5" t="str">
        <f>+WORLDCUP!BD66</f>
        <v>Senegal</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Saudi Arabia</v>
      </c>
      <c r="D431" s="5" t="str">
        <f>+WORLDCUP!BD67</f>
        <v>Jordan</v>
      </c>
      <c r="E431" s="5" t="str">
        <f>+WORLDCUP!BD59</f>
        <v>Bosnia and Herzegovina</v>
      </c>
      <c r="F431" s="5" t="str">
        <f>+WORLDCUP!BD60</f>
        <v>Scotland</v>
      </c>
      <c r="G431" s="5" t="str">
        <f>+WORLDCUP!BD58</f>
        <v>Mexico</v>
      </c>
      <c r="H431" s="5" t="str">
        <f>+WORLDCUP!BD61</f>
        <v>Paraguay</v>
      </c>
      <c r="I431" s="5" t="str">
        <f>+WORLDCUP!BD66</f>
        <v>Senegal</v>
      </c>
      <c r="J431" s="5" t="str">
        <f>+WORLDCUP!BD68</f>
        <v>DR Congo</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Scotland</v>
      </c>
      <c r="D432" s="5" t="str">
        <f>+WORLDCUP!BD67</f>
        <v>Jordan</v>
      </c>
      <c r="E432" s="5" t="str">
        <f>+WORLDCUP!BD59</f>
        <v>Bosnia and Herzegovina</v>
      </c>
      <c r="F432" s="5" t="str">
        <f>+WORLDCUP!BD61</f>
        <v>Paraguay</v>
      </c>
      <c r="G432" s="5" t="str">
        <f>+WORLDCUP!BD58</f>
        <v>Mexico</v>
      </c>
      <c r="H432" s="5" t="str">
        <f>+WORLDCUP!BD64</f>
        <v>Egypt</v>
      </c>
      <c r="I432" s="5" t="str">
        <f>+WORLDCUP!BD69</f>
        <v>Ghana</v>
      </c>
      <c r="J432" s="5" t="str">
        <f>+WORLDCUP!BD68</f>
        <v>DR Congo</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Senegal</v>
      </c>
      <c r="D433" s="5" t="str">
        <f>+WORLDCUP!BD64</f>
        <v>Egypt</v>
      </c>
      <c r="E433" s="5" t="str">
        <f>+WORLDCUP!BD59</f>
        <v>Bosnia and Herzegovina</v>
      </c>
      <c r="F433" s="5" t="str">
        <f>+WORLDCUP!BD60</f>
        <v>Scotland</v>
      </c>
      <c r="G433" s="5" t="str">
        <f>+WORLDCUP!BD58</f>
        <v>Mexico</v>
      </c>
      <c r="H433" s="5" t="str">
        <f>+WORLDCUP!BD61</f>
        <v>Paraguay</v>
      </c>
      <c r="I433" s="5" t="str">
        <f>+WORLDCUP!BD69</f>
        <v>Ghana</v>
      </c>
      <c r="J433" s="5" t="str">
        <f>+WORLDCUP!BD68</f>
        <v>DR Congo</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Scotland</v>
      </c>
      <c r="D434" s="5" t="str">
        <f>+WORLDCUP!BD67</f>
        <v>Jordan</v>
      </c>
      <c r="E434" s="5" t="str">
        <f>+WORLDCUP!BD59</f>
        <v>Bosnia and Herzegovina</v>
      </c>
      <c r="F434" s="5" t="str">
        <f>+WORLDCUP!BD61</f>
        <v>Paraguay</v>
      </c>
      <c r="G434" s="5" t="str">
        <f>+WORLDCUP!BD58</f>
        <v>Mexico</v>
      </c>
      <c r="H434" s="5" t="str">
        <f>+WORLDCUP!BD64</f>
        <v>Egypt</v>
      </c>
      <c r="I434" s="5" t="str">
        <f>+WORLDCUP!BD69</f>
        <v>Ghana</v>
      </c>
      <c r="J434" s="5" t="str">
        <f>+WORLDCUP!BD66</f>
        <v>Senegal</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Scotland</v>
      </c>
      <c r="D435" s="5" t="str">
        <f>+WORLDCUP!BD67</f>
        <v>Jordan</v>
      </c>
      <c r="E435" s="5" t="str">
        <f>+WORLDCUP!BD59</f>
        <v>Bosnia and Herzegovina</v>
      </c>
      <c r="F435" s="5" t="str">
        <f>+WORLDCUP!BD61</f>
        <v>Paraguay</v>
      </c>
      <c r="G435" s="5" t="str">
        <f>+WORLDCUP!BD58</f>
        <v>Mexico</v>
      </c>
      <c r="H435" s="5" t="str">
        <f>+WORLDCUP!BD64</f>
        <v>Egypt</v>
      </c>
      <c r="I435" s="5" t="str">
        <f>+WORLDCUP!BD66</f>
        <v>Senegal</v>
      </c>
      <c r="J435" s="5" t="str">
        <f>+WORLDCUP!BD68</f>
        <v>DR Congo</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Saudi Arabia</v>
      </c>
      <c r="D436" s="5" t="str">
        <f>+WORLDCUP!BD64</f>
        <v>Egypt</v>
      </c>
      <c r="E436" s="5" t="str">
        <f>+WORLDCUP!BD59</f>
        <v>Bosnia and Herzegovina</v>
      </c>
      <c r="F436" s="5" t="str">
        <f>+WORLDCUP!BD60</f>
        <v>Scotland</v>
      </c>
      <c r="G436" s="5" t="str">
        <f>+WORLDCUP!BD58</f>
        <v>Mexico</v>
      </c>
      <c r="H436" s="5" t="str">
        <f>+WORLDCUP!BD61</f>
        <v>Paraguay</v>
      </c>
      <c r="I436" s="5" t="str">
        <f>+WORLDCUP!BD69</f>
        <v>Ghana</v>
      </c>
      <c r="J436" s="5" t="str">
        <f>+WORLDCUP!BD68</f>
        <v>DR Congo</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Saudi Arabia</v>
      </c>
      <c r="D437" s="5" t="str">
        <f>+WORLDCUP!BD64</f>
        <v>Egypt</v>
      </c>
      <c r="E437" s="5" t="str">
        <f>+WORLDCUP!BD59</f>
        <v>Bosnia and Herzegovina</v>
      </c>
      <c r="F437" s="5" t="str">
        <f>+WORLDCUP!BD60</f>
        <v>Scotland</v>
      </c>
      <c r="G437" s="5" t="str">
        <f>+WORLDCUP!BD58</f>
        <v>Mexico</v>
      </c>
      <c r="H437" s="5" t="str">
        <f>+WORLDCUP!BD61</f>
        <v>Paraguay</v>
      </c>
      <c r="I437" s="5" t="str">
        <f>+WORLDCUP!BD69</f>
        <v>Ghana</v>
      </c>
      <c r="J437" s="5" t="str">
        <f>+WORLDCUP!BD67</f>
        <v>Jordan</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Saudi Arabia</v>
      </c>
      <c r="D438" s="5" t="str">
        <f>+WORLDCUP!BD64</f>
        <v>Egypt</v>
      </c>
      <c r="E438" s="5" t="str">
        <f>+WORLDCUP!BD59</f>
        <v>Bosnia and Herzegovina</v>
      </c>
      <c r="F438" s="5" t="str">
        <f>+WORLDCUP!BD60</f>
        <v>Scotland</v>
      </c>
      <c r="G438" s="5" t="str">
        <f>+WORLDCUP!BD58</f>
        <v>Mexico</v>
      </c>
      <c r="H438" s="5" t="str">
        <f>+WORLDCUP!BD61</f>
        <v>Paraguay</v>
      </c>
      <c r="I438" s="5" t="str">
        <f>+WORLDCUP!BD67</f>
        <v>Jordan</v>
      </c>
      <c r="J438" s="5" t="str">
        <f>+WORLDCUP!BD68</f>
        <v>DR Congo</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Saudi Arabia</v>
      </c>
      <c r="D439" s="5" t="str">
        <f>+WORLDCUP!BD64</f>
        <v>Egypt</v>
      </c>
      <c r="E439" s="5" t="str">
        <f>+WORLDCUP!BD59</f>
        <v>Bosnia and Herzegovina</v>
      </c>
      <c r="F439" s="5" t="str">
        <f>+WORLDCUP!BD60</f>
        <v>Scotland</v>
      </c>
      <c r="G439" s="5" t="str">
        <f>+WORLDCUP!BD58</f>
        <v>Mexico</v>
      </c>
      <c r="H439" s="5" t="str">
        <f>+WORLDCUP!BD61</f>
        <v>Paraguay</v>
      </c>
      <c r="I439" s="5" t="str">
        <f>+WORLDCUP!BD69</f>
        <v>Ghana</v>
      </c>
      <c r="J439" s="5" t="str">
        <f>+WORLDCUP!BD66</f>
        <v>Senegal</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Saudi Arabia</v>
      </c>
      <c r="D440" s="5" t="str">
        <f>+WORLDCUP!BD64</f>
        <v>Egypt</v>
      </c>
      <c r="E440" s="5" t="str">
        <f>+WORLDCUP!BD59</f>
        <v>Bosnia and Herzegovina</v>
      </c>
      <c r="F440" s="5" t="str">
        <f>+WORLDCUP!BD60</f>
        <v>Scotland</v>
      </c>
      <c r="G440" s="5" t="str">
        <f>+WORLDCUP!BD58</f>
        <v>Mexico</v>
      </c>
      <c r="H440" s="5" t="str">
        <f>+WORLDCUP!BD61</f>
        <v>Paraguay</v>
      </c>
      <c r="I440" s="5" t="str">
        <f>+WORLDCUP!BD66</f>
        <v>Senegal</v>
      </c>
      <c r="J440" s="5" t="str">
        <f>+WORLDCUP!BD68</f>
        <v>DR Congo</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Saudi Arabia</v>
      </c>
      <c r="D441" s="5" t="str">
        <f>+WORLDCUP!BD64</f>
        <v>Egypt</v>
      </c>
      <c r="E441" s="5" t="str">
        <f>+WORLDCUP!BD59</f>
        <v>Bosnia and Herzegovina</v>
      </c>
      <c r="F441" s="5" t="str">
        <f>+WORLDCUP!BD60</f>
        <v>Scotland</v>
      </c>
      <c r="G441" s="5" t="str">
        <f>+WORLDCUP!BD58</f>
        <v>Mexico</v>
      </c>
      <c r="H441" s="5" t="str">
        <f>+WORLDCUP!BD61</f>
        <v>Paraguay</v>
      </c>
      <c r="I441" s="5" t="str">
        <f>+WORLDCUP!BD66</f>
        <v>Senegal</v>
      </c>
      <c r="J441" s="5" t="str">
        <f>+WORLDCUP!BD67</f>
        <v>Jordan</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Scotland</v>
      </c>
      <c r="D442" s="5" t="str">
        <f>+WORLDCUP!BD67</f>
        <v>Jordan</v>
      </c>
      <c r="E442" s="5" t="str">
        <f>+WORLDCUP!BD59</f>
        <v>Bosnia and Herzegovina</v>
      </c>
      <c r="F442" s="5" t="str">
        <f>+WORLDCUP!BD61</f>
        <v>Paraguay</v>
      </c>
      <c r="G442" s="5" t="str">
        <f>+WORLDCUP!BD58</f>
        <v>Mexico</v>
      </c>
      <c r="H442" s="5" t="str">
        <f>+WORLDCUP!BD63</f>
        <v>Japan</v>
      </c>
      <c r="I442" s="5" t="str">
        <f>+WORLDCUP!BD69</f>
        <v>Ghana</v>
      </c>
      <c r="J442" s="5" t="str">
        <f>+WORLDCUP!BD68</f>
        <v>DR Congo</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Scotland</v>
      </c>
      <c r="D443" s="5" t="str">
        <f>+WORLDCUP!BD66</f>
        <v>Senegal</v>
      </c>
      <c r="E443" s="5" t="str">
        <f>+WORLDCUP!BD59</f>
        <v>Bosnia and Herzegovina</v>
      </c>
      <c r="F443" s="5" t="str">
        <f>+WORLDCUP!BD61</f>
        <v>Paraguay</v>
      </c>
      <c r="G443" s="5" t="str">
        <f>+WORLDCUP!BD58</f>
        <v>Mexico</v>
      </c>
      <c r="H443" s="5" t="str">
        <f>+WORLDCUP!BD63</f>
        <v>Japan</v>
      </c>
      <c r="I443" s="5" t="str">
        <f>+WORLDCUP!BD69</f>
        <v>Ghana</v>
      </c>
      <c r="J443" s="5" t="str">
        <f>+WORLDCUP!BD68</f>
        <v>DR Congo</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Scotland</v>
      </c>
      <c r="D444" s="5" t="str">
        <f>+WORLDCUP!BD67</f>
        <v>Jordan</v>
      </c>
      <c r="E444" s="5" t="str">
        <f>+WORLDCUP!BD59</f>
        <v>Bosnia and Herzegovina</v>
      </c>
      <c r="F444" s="5" t="str">
        <f>+WORLDCUP!BD61</f>
        <v>Paraguay</v>
      </c>
      <c r="G444" s="5" t="str">
        <f>+WORLDCUP!BD58</f>
        <v>Mexico</v>
      </c>
      <c r="H444" s="5" t="str">
        <f>+WORLDCUP!BD63</f>
        <v>Japan</v>
      </c>
      <c r="I444" s="5" t="str">
        <f>+WORLDCUP!BD69</f>
        <v>Ghana</v>
      </c>
      <c r="J444" s="5" t="str">
        <f>+WORLDCUP!BD66</f>
        <v>Senegal</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Scotland</v>
      </c>
      <c r="D445" s="5" t="str">
        <f>+WORLDCUP!BD67</f>
        <v>Jordan</v>
      </c>
      <c r="E445" s="5" t="str">
        <f>+WORLDCUP!BD59</f>
        <v>Bosnia and Herzegovina</v>
      </c>
      <c r="F445" s="5" t="str">
        <f>+WORLDCUP!BD61</f>
        <v>Paraguay</v>
      </c>
      <c r="G445" s="5" t="str">
        <f>+WORLDCUP!BD58</f>
        <v>Mexico</v>
      </c>
      <c r="H445" s="5" t="str">
        <f>+WORLDCUP!BD63</f>
        <v>Japan</v>
      </c>
      <c r="I445" s="5" t="str">
        <f>+WORLDCUP!BD66</f>
        <v>Senegal</v>
      </c>
      <c r="J445" s="5" t="str">
        <f>+WORLDCUP!BD68</f>
        <v>DR Congo</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Saudi Arabia</v>
      </c>
      <c r="D446" s="5" t="str">
        <f>+WORLDCUP!BD63</f>
        <v>Japan</v>
      </c>
      <c r="E446" s="5" t="str">
        <f>+WORLDCUP!BD59</f>
        <v>Bosnia and Herzegovina</v>
      </c>
      <c r="F446" s="5" t="str">
        <f>+WORLDCUP!BD60</f>
        <v>Scotland</v>
      </c>
      <c r="G446" s="5" t="str">
        <f>+WORLDCUP!BD58</f>
        <v>Mexico</v>
      </c>
      <c r="H446" s="5" t="str">
        <f>+WORLDCUP!BD61</f>
        <v>Paraguay</v>
      </c>
      <c r="I446" s="5" t="str">
        <f>+WORLDCUP!BD69</f>
        <v>Ghana</v>
      </c>
      <c r="J446" s="5" t="str">
        <f>+WORLDCUP!BD68</f>
        <v>DR Congo</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Scotland</v>
      </c>
      <c r="D447" s="5" t="str">
        <f>+WORLDCUP!BD67</f>
        <v>Jordan</v>
      </c>
      <c r="E447" s="5" t="str">
        <f>+WORLDCUP!BD59</f>
        <v>Bosnia and Herzegovina</v>
      </c>
      <c r="F447" s="5" t="str">
        <f>+WORLDCUP!BD61</f>
        <v>Paraguay</v>
      </c>
      <c r="G447" s="5" t="str">
        <f>+WORLDCUP!BD58</f>
        <v>Mexico</v>
      </c>
      <c r="H447" s="5" t="str">
        <f>+WORLDCUP!BD63</f>
        <v>Japan</v>
      </c>
      <c r="I447" s="5" t="str">
        <f>+WORLDCUP!BD69</f>
        <v>Ghana</v>
      </c>
      <c r="J447" s="5" t="str">
        <f>+WORLDCUP!BD65</f>
        <v>Saudi Arabia</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Saudi Arabia</v>
      </c>
      <c r="D448" s="5" t="str">
        <f>+WORLDCUP!BD67</f>
        <v>Jordan</v>
      </c>
      <c r="E448" s="5" t="str">
        <f>+WORLDCUP!BD59</f>
        <v>Bosnia and Herzegovina</v>
      </c>
      <c r="F448" s="5" t="str">
        <f>+WORLDCUP!BD60</f>
        <v>Scotland</v>
      </c>
      <c r="G448" s="5" t="str">
        <f>+WORLDCUP!BD58</f>
        <v>Mexico</v>
      </c>
      <c r="H448" s="5" t="str">
        <f>+WORLDCUP!BD63</f>
        <v>Japan</v>
      </c>
      <c r="I448" s="5" t="str">
        <f>+WORLDCUP!BD61</f>
        <v>Paraguay</v>
      </c>
      <c r="J448" s="5" t="str">
        <f>+WORLDCUP!BD68</f>
        <v>DR Congo</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Saudi Arabia</v>
      </c>
      <c r="D449" s="5" t="str">
        <f>+WORLDCUP!BD63</f>
        <v>Japan</v>
      </c>
      <c r="E449" s="5" t="str">
        <f>+WORLDCUP!BD59</f>
        <v>Bosnia and Herzegovina</v>
      </c>
      <c r="F449" s="5" t="str">
        <f>+WORLDCUP!BD60</f>
        <v>Scotland</v>
      </c>
      <c r="G449" s="5" t="str">
        <f>+WORLDCUP!BD58</f>
        <v>Mexico</v>
      </c>
      <c r="H449" s="5" t="str">
        <f>+WORLDCUP!BD61</f>
        <v>Paraguay</v>
      </c>
      <c r="I449" s="5" t="str">
        <f>+WORLDCUP!BD69</f>
        <v>Ghana</v>
      </c>
      <c r="J449" s="5" t="str">
        <f>+WORLDCUP!BD66</f>
        <v>Senegal</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Saudi Arabia</v>
      </c>
      <c r="D450" s="5" t="str">
        <f>+WORLDCUP!BD63</f>
        <v>Japan</v>
      </c>
      <c r="E450" s="5" t="str">
        <f>+WORLDCUP!BD59</f>
        <v>Bosnia and Herzegovina</v>
      </c>
      <c r="F450" s="5" t="str">
        <f>+WORLDCUP!BD60</f>
        <v>Scotland</v>
      </c>
      <c r="G450" s="5" t="str">
        <f>+WORLDCUP!BD58</f>
        <v>Mexico</v>
      </c>
      <c r="H450" s="5" t="str">
        <f>+WORLDCUP!BD61</f>
        <v>Paraguay</v>
      </c>
      <c r="I450" s="5" t="str">
        <f>+WORLDCUP!BD66</f>
        <v>Senegal</v>
      </c>
      <c r="J450" s="5" t="str">
        <f>+WORLDCUP!BD68</f>
        <v>DR Congo</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Saudi Arabia</v>
      </c>
      <c r="D451" s="5" t="str">
        <f>+WORLDCUP!BD67</f>
        <v>Jordan</v>
      </c>
      <c r="E451" s="5" t="str">
        <f>+WORLDCUP!BD59</f>
        <v>Bosnia and Herzegovina</v>
      </c>
      <c r="F451" s="5" t="str">
        <f>+WORLDCUP!BD60</f>
        <v>Scotland</v>
      </c>
      <c r="G451" s="5" t="str">
        <f>+WORLDCUP!BD58</f>
        <v>Mexico</v>
      </c>
      <c r="H451" s="5" t="str">
        <f>+WORLDCUP!BD63</f>
        <v>Japan</v>
      </c>
      <c r="I451" s="5" t="str">
        <f>+WORLDCUP!BD61</f>
        <v>Paraguay</v>
      </c>
      <c r="J451" s="5" t="str">
        <f>+WORLDCUP!BD66</f>
        <v>Senegal</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Scotland</v>
      </c>
      <c r="D452" s="5" t="str">
        <f>+WORLDCUP!BD64</f>
        <v>Egypt</v>
      </c>
      <c r="E452" s="5" t="str">
        <f>+WORLDCUP!BD59</f>
        <v>Bosnia and Herzegovina</v>
      </c>
      <c r="F452" s="5" t="str">
        <f>+WORLDCUP!BD61</f>
        <v>Paraguay</v>
      </c>
      <c r="G452" s="5" t="str">
        <f>+WORLDCUP!BD58</f>
        <v>Mexico</v>
      </c>
      <c r="H452" s="5" t="str">
        <f>+WORLDCUP!BD63</f>
        <v>Japan</v>
      </c>
      <c r="I452" s="5" t="str">
        <f>+WORLDCUP!BD69</f>
        <v>Ghana</v>
      </c>
      <c r="J452" s="5" t="str">
        <f>+WORLDCUP!BD68</f>
        <v>DR Congo</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Scotland</v>
      </c>
      <c r="D453" s="5" t="str">
        <f>+WORLDCUP!BD64</f>
        <v>Egypt</v>
      </c>
      <c r="E453" s="5" t="str">
        <f>+WORLDCUP!BD59</f>
        <v>Bosnia and Herzegovina</v>
      </c>
      <c r="F453" s="5" t="str">
        <f>+WORLDCUP!BD61</f>
        <v>Paraguay</v>
      </c>
      <c r="G453" s="5" t="str">
        <f>+WORLDCUP!BD58</f>
        <v>Mexico</v>
      </c>
      <c r="H453" s="5" t="str">
        <f>+WORLDCUP!BD63</f>
        <v>Japan</v>
      </c>
      <c r="I453" s="5" t="str">
        <f>+WORLDCUP!BD69</f>
        <v>Ghana</v>
      </c>
      <c r="J453" s="5" t="str">
        <f>+WORLDCUP!BD67</f>
        <v>Jordan</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Scotland</v>
      </c>
      <c r="D454" s="5" t="str">
        <f>+WORLDCUP!BD64</f>
        <v>Egypt</v>
      </c>
      <c r="E454" s="5" t="str">
        <f>+WORLDCUP!BD59</f>
        <v>Bosnia and Herzegovina</v>
      </c>
      <c r="F454" s="5" t="str">
        <f>+WORLDCUP!BD61</f>
        <v>Paraguay</v>
      </c>
      <c r="G454" s="5" t="str">
        <f>+WORLDCUP!BD58</f>
        <v>Mexico</v>
      </c>
      <c r="H454" s="5" t="str">
        <f>+WORLDCUP!BD63</f>
        <v>Japan</v>
      </c>
      <c r="I454" s="5" t="str">
        <f>+WORLDCUP!BD67</f>
        <v>Jordan</v>
      </c>
      <c r="J454" s="5" t="str">
        <f>+WORLDCUP!BD68</f>
        <v>DR Congo</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1</v>
      </c>
      <c r="C455" s="5" t="str">
        <f>+WORLDCUP!BD60</f>
        <v>Scotland</v>
      </c>
      <c r="D455" s="5" t="str">
        <f>+WORLDCUP!BD64</f>
        <v>Egypt</v>
      </c>
      <c r="E455" s="5" t="str">
        <f>+WORLDCUP!BD59</f>
        <v>Bosnia and Herzegovina</v>
      </c>
      <c r="F455" s="5" t="str">
        <f>+WORLDCUP!BD61</f>
        <v>Paraguay</v>
      </c>
      <c r="G455" s="5" t="str">
        <f>+WORLDCUP!BD58</f>
        <v>Mexico</v>
      </c>
      <c r="H455" s="5" t="str">
        <f>+WORLDCUP!BD63</f>
        <v>Japan</v>
      </c>
      <c r="I455" s="5" t="str">
        <f>+WORLDCUP!BD69</f>
        <v>Ghana</v>
      </c>
      <c r="J455" s="5" t="str">
        <f>+WORLDCUP!BD66</f>
        <v>Senegal</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Scotland</v>
      </c>
      <c r="D456" s="5" t="str">
        <f>+WORLDCUP!BD64</f>
        <v>Egypt</v>
      </c>
      <c r="E456" s="5" t="str">
        <f>+WORLDCUP!BD59</f>
        <v>Bosnia and Herzegovina</v>
      </c>
      <c r="F456" s="5" t="str">
        <f>+WORLDCUP!BD61</f>
        <v>Paraguay</v>
      </c>
      <c r="G456" s="5" t="str">
        <f>+WORLDCUP!BD58</f>
        <v>Mexico</v>
      </c>
      <c r="H456" s="5" t="str">
        <f>+WORLDCUP!BD63</f>
        <v>Japan</v>
      </c>
      <c r="I456" s="5" t="str">
        <f>+WORLDCUP!BD66</f>
        <v>Senegal</v>
      </c>
      <c r="J456" s="5" t="str">
        <f>+WORLDCUP!BD68</f>
        <v>DR Congo</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Scotland</v>
      </c>
      <c r="D457" s="5" t="str">
        <f>+WORLDCUP!BD64</f>
        <v>Egypt</v>
      </c>
      <c r="E457" s="5" t="str">
        <f>+WORLDCUP!BD59</f>
        <v>Bosnia and Herzegovina</v>
      </c>
      <c r="F457" s="5" t="str">
        <f>+WORLDCUP!BD61</f>
        <v>Paraguay</v>
      </c>
      <c r="G457" s="5" t="str">
        <f>+WORLDCUP!BD58</f>
        <v>Mexico</v>
      </c>
      <c r="H457" s="5" t="str">
        <f>+WORLDCUP!BD63</f>
        <v>Japan</v>
      </c>
      <c r="I457" s="5" t="str">
        <f>+WORLDCUP!BD66</f>
        <v>Senegal</v>
      </c>
      <c r="J457" s="5" t="str">
        <f>+WORLDCUP!BD67</f>
        <v>Jordan</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Scotland</v>
      </c>
      <c r="D458" s="5" t="str">
        <f>+WORLDCUP!BD64</f>
        <v>Egypt</v>
      </c>
      <c r="E458" s="5" t="str">
        <f>+WORLDCUP!BD59</f>
        <v>Bosnia and Herzegovina</v>
      </c>
      <c r="F458" s="5" t="str">
        <f>+WORLDCUP!BD61</f>
        <v>Paraguay</v>
      </c>
      <c r="G458" s="5" t="str">
        <f>+WORLDCUP!BD58</f>
        <v>Mexico</v>
      </c>
      <c r="H458" s="5" t="str">
        <f>+WORLDCUP!BD63</f>
        <v>Japan</v>
      </c>
      <c r="I458" s="5" t="str">
        <f>+WORLDCUP!BD69</f>
        <v>Ghana</v>
      </c>
      <c r="J458" s="5" t="str">
        <f>+WORLDCUP!BD65</f>
        <v>Saudi Arabia</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Saudi Arabia</v>
      </c>
      <c r="D459" s="5" t="str">
        <f>+WORLDCUP!BD64</f>
        <v>Egypt</v>
      </c>
      <c r="E459" s="5" t="str">
        <f>+WORLDCUP!BD59</f>
        <v>Bosnia and Herzegovina</v>
      </c>
      <c r="F459" s="5" t="str">
        <f>+WORLDCUP!BD60</f>
        <v>Scotland</v>
      </c>
      <c r="G459" s="5" t="str">
        <f>+WORLDCUP!BD58</f>
        <v>Mexico</v>
      </c>
      <c r="H459" s="5" t="str">
        <f>+WORLDCUP!BD63</f>
        <v>Japan</v>
      </c>
      <c r="I459" s="5" t="str">
        <f>+WORLDCUP!BD61</f>
        <v>Paraguay</v>
      </c>
      <c r="J459" s="5" t="str">
        <f>+WORLDCUP!BD68</f>
        <v>DR Congo</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Saudi Arabia</v>
      </c>
      <c r="D460" s="5" t="str">
        <f>+WORLDCUP!BD64</f>
        <v>Egypt</v>
      </c>
      <c r="E460" s="5" t="str">
        <f>+WORLDCUP!BD59</f>
        <v>Bosnia and Herzegovina</v>
      </c>
      <c r="F460" s="5" t="str">
        <f>+WORLDCUP!BD60</f>
        <v>Scotland</v>
      </c>
      <c r="G460" s="5" t="str">
        <f>+WORLDCUP!BD58</f>
        <v>Mexico</v>
      </c>
      <c r="H460" s="5" t="str">
        <f>+WORLDCUP!BD63</f>
        <v>Japan</v>
      </c>
      <c r="I460" s="5" t="str">
        <f>+WORLDCUP!BD61</f>
        <v>Paraguay</v>
      </c>
      <c r="J460" s="5" t="str">
        <f>+WORLDCUP!BD67</f>
        <v>Jordan</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Saudi Arabia</v>
      </c>
      <c r="D461" s="5" t="str">
        <f>+WORLDCUP!BD64</f>
        <v>Egypt</v>
      </c>
      <c r="E461" s="5" t="str">
        <f>+WORLDCUP!BD59</f>
        <v>Bosnia and Herzegovina</v>
      </c>
      <c r="F461" s="5" t="str">
        <f>+WORLDCUP!BD60</f>
        <v>Scotland</v>
      </c>
      <c r="G461" s="5" t="str">
        <f>+WORLDCUP!BD58</f>
        <v>Mexico</v>
      </c>
      <c r="H461" s="5" t="str">
        <f>+WORLDCUP!BD63</f>
        <v>Japan</v>
      </c>
      <c r="I461" s="5" t="str">
        <f>+WORLDCUP!BD61</f>
        <v>Paraguay</v>
      </c>
      <c r="J461" s="5" t="str">
        <f>+WORLDCUP!BD66</f>
        <v>Senegal</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Curaçao</v>
      </c>
      <c r="D462" s="5" t="str">
        <f>+WORLDCUP!BD67</f>
        <v>Jordan</v>
      </c>
      <c r="E462" s="5" t="str">
        <f>+WORLDCUP!BD59</f>
        <v>Bosnia and Herzegovina</v>
      </c>
      <c r="F462" s="5" t="str">
        <f>+WORLDCUP!BD60</f>
        <v>Scotland</v>
      </c>
      <c r="G462" s="5" t="str">
        <f>+WORLDCUP!BD58</f>
        <v>Mexico</v>
      </c>
      <c r="H462" s="5" t="str">
        <f>+WORLDCUP!BD61</f>
        <v>Paraguay</v>
      </c>
      <c r="I462" s="5" t="str">
        <f>+WORLDCUP!BD69</f>
        <v>Ghana</v>
      </c>
      <c r="J462" s="5" t="str">
        <f>+WORLDCUP!BD68</f>
        <v>DR Congo</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Curaçao</v>
      </c>
      <c r="D463" s="5" t="str">
        <f>+WORLDCUP!BD66</f>
        <v>Senegal</v>
      </c>
      <c r="E463" s="5" t="str">
        <f>+WORLDCUP!BD59</f>
        <v>Bosnia and Herzegovina</v>
      </c>
      <c r="F463" s="5" t="str">
        <f>+WORLDCUP!BD60</f>
        <v>Scotland</v>
      </c>
      <c r="G463" s="5" t="str">
        <f>+WORLDCUP!BD58</f>
        <v>Mexico</v>
      </c>
      <c r="H463" s="5" t="str">
        <f>+WORLDCUP!BD61</f>
        <v>Paraguay</v>
      </c>
      <c r="I463" s="5" t="str">
        <f>+WORLDCUP!BD69</f>
        <v>Ghana</v>
      </c>
      <c r="J463" s="5" t="str">
        <f>+WORLDCUP!BD68</f>
        <v>DR Congo</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Curaçao</v>
      </c>
      <c r="D464" s="5" t="str">
        <f>+WORLDCUP!BD67</f>
        <v>Jordan</v>
      </c>
      <c r="E464" s="5" t="str">
        <f>+WORLDCUP!BD59</f>
        <v>Bosnia and Herzegovina</v>
      </c>
      <c r="F464" s="5" t="str">
        <f>+WORLDCUP!BD60</f>
        <v>Scotland</v>
      </c>
      <c r="G464" s="5" t="str">
        <f>+WORLDCUP!BD58</f>
        <v>Mexico</v>
      </c>
      <c r="H464" s="5" t="str">
        <f>+WORLDCUP!BD61</f>
        <v>Paraguay</v>
      </c>
      <c r="I464" s="5" t="str">
        <f>+WORLDCUP!BD69</f>
        <v>Ghana</v>
      </c>
      <c r="J464" s="5" t="str">
        <f>+WORLDCUP!BD66</f>
        <v>Senegal</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Curaçao</v>
      </c>
      <c r="D465" s="5" t="str">
        <f>+WORLDCUP!BD67</f>
        <v>Jordan</v>
      </c>
      <c r="E465" s="5" t="str">
        <f>+WORLDCUP!BD59</f>
        <v>Bosnia and Herzegovina</v>
      </c>
      <c r="F465" s="5" t="str">
        <f>+WORLDCUP!BD60</f>
        <v>Scotland</v>
      </c>
      <c r="G465" s="5" t="str">
        <f>+WORLDCUP!BD58</f>
        <v>Mexico</v>
      </c>
      <c r="H465" s="5" t="str">
        <f>+WORLDCUP!BD61</f>
        <v>Paraguay</v>
      </c>
      <c r="I465" s="5" t="str">
        <f>+WORLDCUP!BD66</f>
        <v>Senegal</v>
      </c>
      <c r="J465" s="5" t="str">
        <f>+WORLDCUP!BD68</f>
        <v>DR Congo</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Saudi Arabia</v>
      </c>
      <c r="D466" s="5" t="str">
        <f>+WORLDCUP!BD62</f>
        <v>Curaçao</v>
      </c>
      <c r="E466" s="5" t="str">
        <f>+WORLDCUP!BD59</f>
        <v>Bosnia and Herzegovina</v>
      </c>
      <c r="F466" s="5" t="str">
        <f>+WORLDCUP!BD60</f>
        <v>Scotland</v>
      </c>
      <c r="G466" s="5" t="str">
        <f>+WORLDCUP!BD58</f>
        <v>Mexico</v>
      </c>
      <c r="H466" s="5" t="str">
        <f>+WORLDCUP!BD61</f>
        <v>Paraguay</v>
      </c>
      <c r="I466" s="5" t="str">
        <f>+WORLDCUP!BD69</f>
        <v>Ghana</v>
      </c>
      <c r="J466" s="5" t="str">
        <f>+WORLDCUP!BD68</f>
        <v>DR Congo</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Saudi Arabia</v>
      </c>
      <c r="D467" s="5" t="str">
        <f>+WORLDCUP!BD67</f>
        <v>Jordan</v>
      </c>
      <c r="E467" s="5" t="str">
        <f>+WORLDCUP!BD59</f>
        <v>Bosnia and Herzegovina</v>
      </c>
      <c r="F467" s="5" t="str">
        <f>+WORLDCUP!BD60</f>
        <v>Scotland</v>
      </c>
      <c r="G467" s="5" t="str">
        <f>+WORLDCUP!BD58</f>
        <v>Mexico</v>
      </c>
      <c r="H467" s="5" t="str">
        <f>+WORLDCUP!BD61</f>
        <v>Paraguay</v>
      </c>
      <c r="I467" s="5" t="str">
        <f>+WORLDCUP!BD69</f>
        <v>Ghana</v>
      </c>
      <c r="J467" s="5" t="str">
        <f>+WORLDCUP!BD62</f>
        <v>Curaçao</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Saudi Arabia</v>
      </c>
      <c r="D468" s="5" t="str">
        <f>+WORLDCUP!BD67</f>
        <v>Jordan</v>
      </c>
      <c r="E468" s="5" t="str">
        <f>+WORLDCUP!BD59</f>
        <v>Bosnia and Herzegovina</v>
      </c>
      <c r="F468" s="5" t="str">
        <f>+WORLDCUP!BD60</f>
        <v>Scotland</v>
      </c>
      <c r="G468" s="5" t="str">
        <f>+WORLDCUP!BD58</f>
        <v>Mexico</v>
      </c>
      <c r="H468" s="5" t="str">
        <f>+WORLDCUP!BD61</f>
        <v>Paraguay</v>
      </c>
      <c r="I468" s="5" t="str">
        <f>+WORLDCUP!BD62</f>
        <v>Curaçao</v>
      </c>
      <c r="J468" s="5" t="str">
        <f>+WORLDCUP!BD68</f>
        <v>DR Congo</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Saudi Arabia</v>
      </c>
      <c r="D469" s="5" t="str">
        <f>+WORLDCUP!BD62</f>
        <v>Curaçao</v>
      </c>
      <c r="E469" s="5" t="str">
        <f>+WORLDCUP!BD59</f>
        <v>Bosnia and Herzegovina</v>
      </c>
      <c r="F469" s="5" t="str">
        <f>+WORLDCUP!BD60</f>
        <v>Scotland</v>
      </c>
      <c r="G469" s="5" t="str">
        <f>+WORLDCUP!BD58</f>
        <v>Mexico</v>
      </c>
      <c r="H469" s="5" t="str">
        <f>+WORLDCUP!BD61</f>
        <v>Paraguay</v>
      </c>
      <c r="I469" s="5" t="str">
        <f>+WORLDCUP!BD69</f>
        <v>Ghana</v>
      </c>
      <c r="J469" s="5" t="str">
        <f>+WORLDCUP!BD66</f>
        <v>Senegal</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Saudi Arabia</v>
      </c>
      <c r="D470" s="5" t="str">
        <f>+WORLDCUP!BD62</f>
        <v>Curaçao</v>
      </c>
      <c r="E470" s="5" t="str">
        <f>+WORLDCUP!BD59</f>
        <v>Bosnia and Herzegovina</v>
      </c>
      <c r="F470" s="5" t="str">
        <f>+WORLDCUP!BD60</f>
        <v>Scotland</v>
      </c>
      <c r="G470" s="5" t="str">
        <f>+WORLDCUP!BD58</f>
        <v>Mexico</v>
      </c>
      <c r="H470" s="5" t="str">
        <f>+WORLDCUP!BD61</f>
        <v>Paraguay</v>
      </c>
      <c r="I470" s="5" t="str">
        <f>+WORLDCUP!BD66</f>
        <v>Senegal</v>
      </c>
      <c r="J470" s="5" t="str">
        <f>+WORLDCUP!BD68</f>
        <v>DR Congo</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Saudi Arabia</v>
      </c>
      <c r="D471" s="5" t="str">
        <f>+WORLDCUP!BD67</f>
        <v>Jordan</v>
      </c>
      <c r="E471" s="5" t="str">
        <f>+WORLDCUP!BD59</f>
        <v>Bosnia and Herzegovina</v>
      </c>
      <c r="F471" s="5" t="str">
        <f>+WORLDCUP!BD60</f>
        <v>Scotland</v>
      </c>
      <c r="G471" s="5" t="str">
        <f>+WORLDCUP!BD58</f>
        <v>Mexico</v>
      </c>
      <c r="H471" s="5" t="str">
        <f>+WORLDCUP!BD61</f>
        <v>Paraguay</v>
      </c>
      <c r="I471" s="5" t="str">
        <f>+WORLDCUP!BD62</f>
        <v>Curaçao</v>
      </c>
      <c r="J471" s="5" t="str">
        <f>+WORLDCUP!BD66</f>
        <v>Senegal</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Curaçao</v>
      </c>
      <c r="D472" s="5" t="str">
        <f>+WORLDCUP!BD64</f>
        <v>Egypt</v>
      </c>
      <c r="E472" s="5" t="str">
        <f>+WORLDCUP!BD59</f>
        <v>Bosnia and Herzegovina</v>
      </c>
      <c r="F472" s="5" t="str">
        <f>+WORLDCUP!BD60</f>
        <v>Scotland</v>
      </c>
      <c r="G472" s="5" t="str">
        <f>+WORLDCUP!BD58</f>
        <v>Mexico</v>
      </c>
      <c r="H472" s="5" t="str">
        <f>+WORLDCUP!BD61</f>
        <v>Paraguay</v>
      </c>
      <c r="I472" s="5" t="str">
        <f>+WORLDCUP!BD69</f>
        <v>Ghana</v>
      </c>
      <c r="J472" s="5" t="str">
        <f>+WORLDCUP!BD68</f>
        <v>DR Congo</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Curaçao</v>
      </c>
      <c r="D473" s="5" t="str">
        <f>+WORLDCUP!BD64</f>
        <v>Egypt</v>
      </c>
      <c r="E473" s="5" t="str">
        <f>+WORLDCUP!BD59</f>
        <v>Bosnia and Herzegovina</v>
      </c>
      <c r="F473" s="5" t="str">
        <f>+WORLDCUP!BD60</f>
        <v>Scotland</v>
      </c>
      <c r="G473" s="5" t="str">
        <f>+WORLDCUP!BD58</f>
        <v>Mexico</v>
      </c>
      <c r="H473" s="5" t="str">
        <f>+WORLDCUP!BD61</f>
        <v>Paraguay</v>
      </c>
      <c r="I473" s="5" t="str">
        <f>+WORLDCUP!BD69</f>
        <v>Ghana</v>
      </c>
      <c r="J473" s="5" t="str">
        <f>+WORLDCUP!BD67</f>
        <v>Jordan</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Curaçao</v>
      </c>
      <c r="D474" s="5" t="str">
        <f>+WORLDCUP!BD64</f>
        <v>Egypt</v>
      </c>
      <c r="E474" s="5" t="str">
        <f>+WORLDCUP!BD59</f>
        <v>Bosnia and Herzegovina</v>
      </c>
      <c r="F474" s="5" t="str">
        <f>+WORLDCUP!BD60</f>
        <v>Scotland</v>
      </c>
      <c r="G474" s="5" t="str">
        <f>+WORLDCUP!BD58</f>
        <v>Mexico</v>
      </c>
      <c r="H474" s="5" t="str">
        <f>+WORLDCUP!BD61</f>
        <v>Paraguay</v>
      </c>
      <c r="I474" s="5" t="str">
        <f>+WORLDCUP!BD67</f>
        <v>Jordan</v>
      </c>
      <c r="J474" s="5" t="str">
        <f>+WORLDCUP!BD68</f>
        <v>DR Congo</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Curaçao</v>
      </c>
      <c r="D475" s="5" t="str">
        <f>+WORLDCUP!BD64</f>
        <v>Egypt</v>
      </c>
      <c r="E475" s="5" t="str">
        <f>+WORLDCUP!BD59</f>
        <v>Bosnia and Herzegovina</v>
      </c>
      <c r="F475" s="5" t="str">
        <f>+WORLDCUP!BD60</f>
        <v>Scotland</v>
      </c>
      <c r="G475" s="5" t="str">
        <f>+WORLDCUP!BD58</f>
        <v>Mexico</v>
      </c>
      <c r="H475" s="5" t="str">
        <f>+WORLDCUP!BD61</f>
        <v>Paraguay</v>
      </c>
      <c r="I475" s="5" t="str">
        <f>+WORLDCUP!BD69</f>
        <v>Ghana</v>
      </c>
      <c r="J475" s="5" t="str">
        <f>+WORLDCUP!BD66</f>
        <v>Senegal</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Curaçao</v>
      </c>
      <c r="D476" s="5" t="str">
        <f>+WORLDCUP!BD64</f>
        <v>Egypt</v>
      </c>
      <c r="E476" s="5" t="str">
        <f>+WORLDCUP!BD59</f>
        <v>Bosnia and Herzegovina</v>
      </c>
      <c r="F476" s="5" t="str">
        <f>+WORLDCUP!BD60</f>
        <v>Scotland</v>
      </c>
      <c r="G476" s="5" t="str">
        <f>+WORLDCUP!BD58</f>
        <v>Mexico</v>
      </c>
      <c r="H476" s="5" t="str">
        <f>+WORLDCUP!BD61</f>
        <v>Paraguay</v>
      </c>
      <c r="I476" s="5" t="str">
        <f>+WORLDCUP!BD66</f>
        <v>Senegal</v>
      </c>
      <c r="J476" s="5" t="str">
        <f>+WORLDCUP!BD68</f>
        <v>DR Congo</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Curaçao</v>
      </c>
      <c r="D477" s="5" t="str">
        <f>+WORLDCUP!BD64</f>
        <v>Egypt</v>
      </c>
      <c r="E477" s="5" t="str">
        <f>+WORLDCUP!BD59</f>
        <v>Bosnia and Herzegovina</v>
      </c>
      <c r="F477" s="5" t="str">
        <f>+WORLDCUP!BD60</f>
        <v>Scotland</v>
      </c>
      <c r="G477" s="5" t="str">
        <f>+WORLDCUP!BD58</f>
        <v>Mexico</v>
      </c>
      <c r="H477" s="5" t="str">
        <f>+WORLDCUP!BD61</f>
        <v>Paraguay</v>
      </c>
      <c r="I477" s="5" t="str">
        <f>+WORLDCUP!BD66</f>
        <v>Senegal</v>
      </c>
      <c r="J477" s="5" t="str">
        <f>+WORLDCUP!BD67</f>
        <v>Jordan</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Saudi Arabia</v>
      </c>
      <c r="D478" s="5" t="str">
        <f>+WORLDCUP!BD64</f>
        <v>Egypt</v>
      </c>
      <c r="E478" s="5" t="str">
        <f>+WORLDCUP!BD59</f>
        <v>Bosnia and Herzegovina</v>
      </c>
      <c r="F478" s="5" t="str">
        <f>+WORLDCUP!BD60</f>
        <v>Scotland</v>
      </c>
      <c r="G478" s="5" t="str">
        <f>+WORLDCUP!BD58</f>
        <v>Mexico</v>
      </c>
      <c r="H478" s="5" t="str">
        <f>+WORLDCUP!BD61</f>
        <v>Paraguay</v>
      </c>
      <c r="I478" s="5" t="str">
        <f>+WORLDCUP!BD69</f>
        <v>Ghana</v>
      </c>
      <c r="J478" s="5" t="str">
        <f>+WORLDCUP!BD62</f>
        <v>Curaçao</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Saudi Arabia</v>
      </c>
      <c r="D479" s="5" t="str">
        <f>+WORLDCUP!BD64</f>
        <v>Egypt</v>
      </c>
      <c r="E479" s="5" t="str">
        <f>+WORLDCUP!BD59</f>
        <v>Bosnia and Herzegovina</v>
      </c>
      <c r="F479" s="5" t="str">
        <f>+WORLDCUP!BD60</f>
        <v>Scotland</v>
      </c>
      <c r="G479" s="5" t="str">
        <f>+WORLDCUP!BD58</f>
        <v>Mexico</v>
      </c>
      <c r="H479" s="5" t="str">
        <f>+WORLDCUP!BD61</f>
        <v>Paraguay</v>
      </c>
      <c r="I479" s="5" t="str">
        <f>+WORLDCUP!BD62</f>
        <v>Curaçao</v>
      </c>
      <c r="J479" s="5" t="str">
        <f>+WORLDCUP!BD68</f>
        <v>DR Congo</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Saudi Arabia</v>
      </c>
      <c r="D480" s="5" t="str">
        <f>+WORLDCUP!BD64</f>
        <v>Egypt</v>
      </c>
      <c r="E480" s="5" t="str">
        <f>+WORLDCUP!BD59</f>
        <v>Bosnia and Herzegovina</v>
      </c>
      <c r="F480" s="5" t="str">
        <f>+WORLDCUP!BD60</f>
        <v>Scotland</v>
      </c>
      <c r="G480" s="5" t="str">
        <f>+WORLDCUP!BD58</f>
        <v>Mexico</v>
      </c>
      <c r="H480" s="5" t="str">
        <f>+WORLDCUP!BD61</f>
        <v>Paraguay</v>
      </c>
      <c r="I480" s="5" t="str">
        <f>+WORLDCUP!BD62</f>
        <v>Curaçao</v>
      </c>
      <c r="J480" s="5" t="str">
        <f>+WORLDCUP!BD67</f>
        <v>Jordan</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Saudi Arabia</v>
      </c>
      <c r="D481" s="5" t="str">
        <f>+WORLDCUP!BD64</f>
        <v>Egypt</v>
      </c>
      <c r="E481" s="5" t="str">
        <f>+WORLDCUP!BD59</f>
        <v>Bosnia and Herzegovina</v>
      </c>
      <c r="F481" s="5" t="str">
        <f>+WORLDCUP!BD60</f>
        <v>Scotland</v>
      </c>
      <c r="G481" s="5" t="str">
        <f>+WORLDCUP!BD58</f>
        <v>Mexico</v>
      </c>
      <c r="H481" s="5" t="str">
        <f>+WORLDCUP!BD61</f>
        <v>Paraguay</v>
      </c>
      <c r="I481" s="5" t="str">
        <f>+WORLDCUP!BD62</f>
        <v>Curaçao</v>
      </c>
      <c r="J481" s="5" t="str">
        <f>+WORLDCUP!BD66</f>
        <v>Senegal</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Scotland</v>
      </c>
      <c r="D482" s="5" t="str">
        <f>+WORLDCUP!BD62</f>
        <v>Curaçao</v>
      </c>
      <c r="E482" s="5" t="str">
        <f>+WORLDCUP!BD59</f>
        <v>Bosnia and Herzegovina</v>
      </c>
      <c r="F482" s="5" t="str">
        <f>+WORLDCUP!BD61</f>
        <v>Paraguay</v>
      </c>
      <c r="G482" s="5" t="str">
        <f>+WORLDCUP!BD58</f>
        <v>Mexico</v>
      </c>
      <c r="H482" s="5" t="str">
        <f>+WORLDCUP!BD63</f>
        <v>Japan</v>
      </c>
      <c r="I482" s="5" t="str">
        <f>+WORLDCUP!BD69</f>
        <v>Ghana</v>
      </c>
      <c r="J482" s="5" t="str">
        <f>+WORLDCUP!BD68</f>
        <v>DR Congo</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Scotland</v>
      </c>
      <c r="D483" s="5" t="str">
        <f>+WORLDCUP!BD67</f>
        <v>Jordan</v>
      </c>
      <c r="E483" s="5" t="str">
        <f>+WORLDCUP!BD59</f>
        <v>Bosnia and Herzegovina</v>
      </c>
      <c r="F483" s="5" t="str">
        <f>+WORLDCUP!BD61</f>
        <v>Paraguay</v>
      </c>
      <c r="G483" s="5" t="str">
        <f>+WORLDCUP!BD58</f>
        <v>Mexico</v>
      </c>
      <c r="H483" s="5" t="str">
        <f>+WORLDCUP!BD63</f>
        <v>Japan</v>
      </c>
      <c r="I483" s="5" t="str">
        <f>+WORLDCUP!BD69</f>
        <v>Ghana</v>
      </c>
      <c r="J483" s="5" t="str">
        <f>+WORLDCUP!BD62</f>
        <v>Curaçao</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Scotland</v>
      </c>
      <c r="D484" s="5" t="str">
        <f>+WORLDCUP!BD67</f>
        <v>Jordan</v>
      </c>
      <c r="E484" s="5" t="str">
        <f>+WORLDCUP!BD59</f>
        <v>Bosnia and Herzegovina</v>
      </c>
      <c r="F484" s="5" t="str">
        <f>+WORLDCUP!BD61</f>
        <v>Paraguay</v>
      </c>
      <c r="G484" s="5" t="str">
        <f>+WORLDCUP!BD58</f>
        <v>Mexico</v>
      </c>
      <c r="H484" s="5" t="str">
        <f>+WORLDCUP!BD63</f>
        <v>Japan</v>
      </c>
      <c r="I484" s="5" t="str">
        <f>+WORLDCUP!BD62</f>
        <v>Curaçao</v>
      </c>
      <c r="J484" s="5" t="str">
        <f>+WORLDCUP!BD68</f>
        <v>DR Congo</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Scotland</v>
      </c>
      <c r="D485" s="5" t="str">
        <f>+WORLDCUP!BD62</f>
        <v>Curaçao</v>
      </c>
      <c r="E485" s="5" t="str">
        <f>+WORLDCUP!BD59</f>
        <v>Bosnia and Herzegovina</v>
      </c>
      <c r="F485" s="5" t="str">
        <f>+WORLDCUP!BD61</f>
        <v>Paraguay</v>
      </c>
      <c r="G485" s="5" t="str">
        <f>+WORLDCUP!BD58</f>
        <v>Mexico</v>
      </c>
      <c r="H485" s="5" t="str">
        <f>+WORLDCUP!BD63</f>
        <v>Japan</v>
      </c>
      <c r="I485" s="5" t="str">
        <f>+WORLDCUP!BD69</f>
        <v>Ghana</v>
      </c>
      <c r="J485" s="5" t="str">
        <f>+WORLDCUP!BD66</f>
        <v>Senegal</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Scotland</v>
      </c>
      <c r="D486" s="5" t="str">
        <f>+WORLDCUP!BD62</f>
        <v>Curaçao</v>
      </c>
      <c r="E486" s="5" t="str">
        <f>+WORLDCUP!BD59</f>
        <v>Bosnia and Herzegovina</v>
      </c>
      <c r="F486" s="5" t="str">
        <f>+WORLDCUP!BD61</f>
        <v>Paraguay</v>
      </c>
      <c r="G486" s="5" t="str">
        <f>+WORLDCUP!BD58</f>
        <v>Mexico</v>
      </c>
      <c r="H486" s="5" t="str">
        <f>+WORLDCUP!BD63</f>
        <v>Japan</v>
      </c>
      <c r="I486" s="5" t="str">
        <f>+WORLDCUP!BD66</f>
        <v>Senegal</v>
      </c>
      <c r="J486" s="5" t="str">
        <f>+WORLDCUP!BD68</f>
        <v>DR Congo</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Scotland</v>
      </c>
      <c r="D487" s="5" t="str">
        <f>+WORLDCUP!BD67</f>
        <v>Jordan</v>
      </c>
      <c r="E487" s="5" t="str">
        <f>+WORLDCUP!BD59</f>
        <v>Bosnia and Herzegovina</v>
      </c>
      <c r="F487" s="5" t="str">
        <f>+WORLDCUP!BD61</f>
        <v>Paraguay</v>
      </c>
      <c r="G487" s="5" t="str">
        <f>+WORLDCUP!BD58</f>
        <v>Mexico</v>
      </c>
      <c r="H487" s="5" t="str">
        <f>+WORLDCUP!BD63</f>
        <v>Japan</v>
      </c>
      <c r="I487" s="5" t="str">
        <f>+WORLDCUP!BD62</f>
        <v>Curaçao</v>
      </c>
      <c r="J487" s="5" t="str">
        <f>+WORLDCUP!BD66</f>
        <v>Senegal</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Saudi Arabia</v>
      </c>
      <c r="D488" s="5" t="str">
        <f>+WORLDCUP!BD63</f>
        <v>Japan</v>
      </c>
      <c r="E488" s="5" t="str">
        <f>+WORLDCUP!BD59</f>
        <v>Bosnia and Herzegovina</v>
      </c>
      <c r="F488" s="5" t="str">
        <f>+WORLDCUP!BD60</f>
        <v>Scotland</v>
      </c>
      <c r="G488" s="5" t="str">
        <f>+WORLDCUP!BD58</f>
        <v>Mexico</v>
      </c>
      <c r="H488" s="5" t="str">
        <f>+WORLDCUP!BD61</f>
        <v>Paraguay</v>
      </c>
      <c r="I488" s="5" t="str">
        <f>+WORLDCUP!BD69</f>
        <v>Ghana</v>
      </c>
      <c r="J488" s="5" t="str">
        <f>+WORLDCUP!BD62</f>
        <v>Curaçao</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Saudi Arabia</v>
      </c>
      <c r="D489" s="5" t="str">
        <f>+WORLDCUP!BD62</f>
        <v>Curaçao</v>
      </c>
      <c r="E489" s="5" t="str">
        <f>+WORLDCUP!BD59</f>
        <v>Bosnia and Herzegovina</v>
      </c>
      <c r="F489" s="5" t="str">
        <f>+WORLDCUP!BD60</f>
        <v>Scotland</v>
      </c>
      <c r="G489" s="5" t="str">
        <f>+WORLDCUP!BD58</f>
        <v>Mexico</v>
      </c>
      <c r="H489" s="5" t="str">
        <f>+WORLDCUP!BD63</f>
        <v>Japan</v>
      </c>
      <c r="I489" s="5" t="str">
        <f>+WORLDCUP!BD61</f>
        <v>Paraguay</v>
      </c>
      <c r="J489" s="5" t="str">
        <f>+WORLDCUP!BD68</f>
        <v>DR Congo</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Saudi Arabia</v>
      </c>
      <c r="D490" s="5" t="str">
        <f>+WORLDCUP!BD67</f>
        <v>Jordan</v>
      </c>
      <c r="E490" s="5" t="str">
        <f>+WORLDCUP!BD59</f>
        <v>Bosnia and Herzegovina</v>
      </c>
      <c r="F490" s="5" t="str">
        <f>+WORLDCUP!BD60</f>
        <v>Scotland</v>
      </c>
      <c r="G490" s="5" t="str">
        <f>+WORLDCUP!BD58</f>
        <v>Mexico</v>
      </c>
      <c r="H490" s="5" t="str">
        <f>+WORLDCUP!BD63</f>
        <v>Japan</v>
      </c>
      <c r="I490" s="5" t="str">
        <f>+WORLDCUP!BD61</f>
        <v>Paraguay</v>
      </c>
      <c r="J490" s="5" t="str">
        <f>+WORLDCUP!BD62</f>
        <v>Curaçao</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Saudi Arabia</v>
      </c>
      <c r="D491" s="5" t="str">
        <f>+WORLDCUP!BD62</f>
        <v>Curaçao</v>
      </c>
      <c r="E491" s="5" t="str">
        <f>+WORLDCUP!BD59</f>
        <v>Bosnia and Herzegovina</v>
      </c>
      <c r="F491" s="5" t="str">
        <f>+WORLDCUP!BD60</f>
        <v>Scotland</v>
      </c>
      <c r="G491" s="5" t="str">
        <f>+WORLDCUP!BD58</f>
        <v>Mexico</v>
      </c>
      <c r="H491" s="5" t="str">
        <f>+WORLDCUP!BD63</f>
        <v>Japan</v>
      </c>
      <c r="I491" s="5" t="str">
        <f>+WORLDCUP!BD61</f>
        <v>Paraguay</v>
      </c>
      <c r="J491" s="5" t="str">
        <f>+WORLDCUP!BD66</f>
        <v>Senegal</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Scotland</v>
      </c>
      <c r="D492" s="5" t="str">
        <f>+WORLDCUP!BD64</f>
        <v>Egypt</v>
      </c>
      <c r="E492" s="5" t="str">
        <f>+WORLDCUP!BD59</f>
        <v>Bosnia and Herzegovina</v>
      </c>
      <c r="F492" s="5" t="str">
        <f>+WORLDCUP!BD61</f>
        <v>Paraguay</v>
      </c>
      <c r="G492" s="5" t="str">
        <f>+WORLDCUP!BD58</f>
        <v>Mexico</v>
      </c>
      <c r="H492" s="5" t="str">
        <f>+WORLDCUP!BD63</f>
        <v>Japan</v>
      </c>
      <c r="I492" s="5" t="str">
        <f>+WORLDCUP!BD69</f>
        <v>Ghana</v>
      </c>
      <c r="J492" s="5" t="str">
        <f>+WORLDCUP!BD62</f>
        <v>Curaçao</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Scotland</v>
      </c>
      <c r="D493" s="5" t="str">
        <f>+WORLDCUP!BD64</f>
        <v>Egypt</v>
      </c>
      <c r="E493" s="5" t="str">
        <f>+WORLDCUP!BD59</f>
        <v>Bosnia and Herzegovina</v>
      </c>
      <c r="F493" s="5" t="str">
        <f>+WORLDCUP!BD61</f>
        <v>Paraguay</v>
      </c>
      <c r="G493" s="5" t="str">
        <f>+WORLDCUP!BD58</f>
        <v>Mexico</v>
      </c>
      <c r="H493" s="5" t="str">
        <f>+WORLDCUP!BD63</f>
        <v>Japan</v>
      </c>
      <c r="I493" s="5" t="str">
        <f>+WORLDCUP!BD62</f>
        <v>Curaçao</v>
      </c>
      <c r="J493" s="5" t="str">
        <f>+WORLDCUP!BD68</f>
        <v>DR Congo</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Scotland</v>
      </c>
      <c r="D494" s="5" t="str">
        <f>+WORLDCUP!BD64</f>
        <v>Egypt</v>
      </c>
      <c r="E494" s="5" t="str">
        <f>+WORLDCUP!BD59</f>
        <v>Bosnia and Herzegovina</v>
      </c>
      <c r="F494" s="5" t="str">
        <f>+WORLDCUP!BD61</f>
        <v>Paraguay</v>
      </c>
      <c r="G494" s="5" t="str">
        <f>+WORLDCUP!BD58</f>
        <v>Mexico</v>
      </c>
      <c r="H494" s="5" t="str">
        <f>+WORLDCUP!BD63</f>
        <v>Japan</v>
      </c>
      <c r="I494" s="5" t="str">
        <f>+WORLDCUP!BD62</f>
        <v>Curaçao</v>
      </c>
      <c r="J494" s="5" t="str">
        <f>+WORLDCUP!BD67</f>
        <v>Jordan</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Scotland</v>
      </c>
      <c r="D495" s="5" t="str">
        <f>+WORLDCUP!BD64</f>
        <v>Egypt</v>
      </c>
      <c r="E495" s="5" t="str">
        <f>+WORLDCUP!BD59</f>
        <v>Bosnia and Herzegovina</v>
      </c>
      <c r="F495" s="5" t="str">
        <f>+WORLDCUP!BD61</f>
        <v>Paraguay</v>
      </c>
      <c r="G495" s="5" t="str">
        <f>+WORLDCUP!BD58</f>
        <v>Mexico</v>
      </c>
      <c r="H495" s="5" t="str">
        <f>+WORLDCUP!BD63</f>
        <v>Japan</v>
      </c>
      <c r="I495" s="5" t="str">
        <f>+WORLDCUP!BD62</f>
        <v>Curaçao</v>
      </c>
      <c r="J495" s="5" t="str">
        <f>+WORLDCUP!BD66</f>
        <v>Senegal</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Saudi Arabia</v>
      </c>
      <c r="D496" s="5" t="str">
        <f>+WORLDCUP!BD64</f>
        <v>Egypt</v>
      </c>
      <c r="E496" s="5" t="str">
        <f>+WORLDCUP!BD59</f>
        <v>Bosnia and Herzegovina</v>
      </c>
      <c r="F496" s="5" t="str">
        <f>+WORLDCUP!BD60</f>
        <v>Scotland</v>
      </c>
      <c r="G496" s="5" t="str">
        <f>+WORLDCUP!BD58</f>
        <v>Mexico</v>
      </c>
      <c r="H496" s="5" t="str">
        <f>+WORLDCUP!BD63</f>
        <v>Japan</v>
      </c>
      <c r="I496" s="5" t="str">
        <f>+WORLDCUP!BD61</f>
        <v>Paraguay</v>
      </c>
      <c r="J496" s="5" t="str">
        <f>+WORLDCUP!BD62</f>
        <v>Curaçao</v>
      </c>
      <c r="N496" s="8" t="s">
        <v>1275</v>
      </c>
      <c r="O496" s="8">
        <v>495</v>
      </c>
      <c r="P496" s="8" t="s">
        <v>108</v>
      </c>
      <c r="Q496" s="8" t="s">
        <v>103</v>
      </c>
      <c r="R496" s="8" t="s">
        <v>81</v>
      </c>
      <c r="S496" s="8" t="s">
        <v>85</v>
      </c>
      <c r="T496" s="8" t="s">
        <v>76</v>
      </c>
      <c r="U496" s="8" t="s">
        <v>99</v>
      </c>
      <c r="V496" s="8" t="s">
        <v>90</v>
      </c>
      <c r="W496" s="8" t="s">
        <v>94</v>
      </c>
    </row>
    <row r="497" spans="1:10">
      <c r="A497" s="359" t="s">
        <v>147</v>
      </c>
      <c r="B497" s="359"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34"/>
      <c r="B1" s="34"/>
      <c r="C1" s="34"/>
      <c r="D1" s="34"/>
      <c r="E1" s="36"/>
      <c r="F1" s="36"/>
      <c r="G1" s="36"/>
      <c r="H1" s="36"/>
      <c r="I1" s="36"/>
      <c r="J1" s="36"/>
      <c r="K1" s="35"/>
      <c r="L1" s="35"/>
      <c r="M1" s="35"/>
      <c r="N1" s="35"/>
      <c r="O1" s="35"/>
      <c r="P1" s="35"/>
      <c r="Q1" s="35"/>
    </row>
    <row r="2" spans="1:18">
      <c r="A2" s="34"/>
      <c r="B2" s="70" t="str">
        <f>Idiomas!D82</f>
        <v>Disclaimer:</v>
      </c>
      <c r="C2" s="37"/>
      <c r="D2" s="37"/>
      <c r="E2" s="38"/>
      <c r="F2" s="38"/>
      <c r="G2" s="38"/>
      <c r="H2" s="38"/>
      <c r="I2" s="38"/>
      <c r="J2" s="38"/>
      <c r="K2" s="35"/>
      <c r="L2" s="70" t="s">
        <v>315</v>
      </c>
      <c r="M2" s="35"/>
      <c r="N2" s="35"/>
      <c r="O2" s="35"/>
      <c r="P2" s="35"/>
      <c r="Q2" s="35"/>
    </row>
    <row r="3" spans="1:18">
      <c r="A3" s="34"/>
      <c r="B3" s="674"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75"/>
      <c r="D3" s="675"/>
      <c r="E3" s="675"/>
      <c r="F3" s="675"/>
      <c r="G3" s="675"/>
      <c r="H3" s="675"/>
      <c r="I3" s="675"/>
      <c r="J3" s="676"/>
      <c r="K3" s="35"/>
      <c r="L3" s="109"/>
      <c r="M3" s="110"/>
      <c r="N3" s="110"/>
      <c r="O3" s="110"/>
      <c r="P3" s="110"/>
      <c r="Q3" s="110"/>
      <c r="R3" s="111"/>
    </row>
    <row r="4" spans="1:18">
      <c r="A4" s="34"/>
      <c r="B4" s="677"/>
      <c r="C4" s="641"/>
      <c r="D4" s="641"/>
      <c r="E4" s="641"/>
      <c r="F4" s="641"/>
      <c r="G4" s="641"/>
      <c r="H4" s="641"/>
      <c r="I4" s="641"/>
      <c r="J4" s="678"/>
      <c r="K4" s="35"/>
      <c r="L4" s="108" t="str">
        <f>+Idiomas!D84</f>
        <v>· Select the language and time zone</v>
      </c>
      <c r="M4" s="43"/>
      <c r="N4" s="43"/>
      <c r="O4" s="43"/>
      <c r="P4" s="43"/>
      <c r="Q4" s="43"/>
      <c r="R4" s="112"/>
    </row>
    <row r="5" spans="1:18">
      <c r="A5" s="34"/>
      <c r="B5" s="677"/>
      <c r="C5" s="641"/>
      <c r="D5" s="641"/>
      <c r="E5" s="641"/>
      <c r="F5" s="641"/>
      <c r="G5" s="641"/>
      <c r="H5" s="641"/>
      <c r="I5" s="641"/>
      <c r="J5" s="678"/>
      <c r="K5" s="35"/>
      <c r="L5" s="108" t="str">
        <f>+Idiomas!D85</f>
        <v>· If you are going to participate in a pool/sweepstake, write your name</v>
      </c>
      <c r="M5" s="43"/>
      <c r="N5" s="43"/>
      <c r="O5" s="43"/>
      <c r="P5" s="43"/>
      <c r="Q5" s="43"/>
      <c r="R5" s="112"/>
    </row>
    <row r="6" spans="1:18">
      <c r="A6" s="34"/>
      <c r="B6" s="677"/>
      <c r="C6" s="641"/>
      <c r="D6" s="641"/>
      <c r="E6" s="641"/>
      <c r="F6" s="641"/>
      <c r="G6" s="641"/>
      <c r="H6" s="641"/>
      <c r="I6" s="641"/>
      <c r="J6" s="678"/>
      <c r="K6" s="35"/>
      <c r="L6" s="108" t="str">
        <f>+Idiomas!D86</f>
        <v>· If you are going to organize a pool, you can download the administration excel file from here</v>
      </c>
      <c r="M6" s="43"/>
      <c r="N6" s="43"/>
      <c r="O6" s="43"/>
      <c r="P6" s="43"/>
      <c r="Q6" s="43"/>
      <c r="R6" s="112"/>
    </row>
    <row r="7" spans="1:18">
      <c r="A7" s="34"/>
      <c r="B7" s="677"/>
      <c r="C7" s="641"/>
      <c r="D7" s="641"/>
      <c r="E7" s="641"/>
      <c r="F7" s="641"/>
      <c r="G7" s="641"/>
      <c r="H7" s="641"/>
      <c r="I7" s="641"/>
      <c r="J7" s="678"/>
      <c r="K7" s="35"/>
      <c r="L7" s="113"/>
      <c r="M7" s="114"/>
      <c r="N7" s="114"/>
      <c r="O7" s="114"/>
      <c r="P7" s="114"/>
      <c r="Q7" s="114"/>
      <c r="R7" s="115"/>
    </row>
    <row r="8" spans="1:18">
      <c r="A8" s="34"/>
      <c r="B8" s="677"/>
      <c r="C8" s="641"/>
      <c r="D8" s="641"/>
      <c r="E8" s="641"/>
      <c r="F8" s="641"/>
      <c r="G8" s="641"/>
      <c r="H8" s="641"/>
      <c r="I8" s="641"/>
      <c r="J8" s="678"/>
      <c r="K8" s="35"/>
    </row>
    <row r="9" spans="1:18">
      <c r="A9" s="34"/>
      <c r="B9" s="677"/>
      <c r="C9" s="641"/>
      <c r="D9" s="641"/>
      <c r="E9" s="641"/>
      <c r="F9" s="641"/>
      <c r="G9" s="641"/>
      <c r="H9" s="641"/>
      <c r="I9" s="641"/>
      <c r="J9" s="678"/>
      <c r="K9" s="35"/>
      <c r="L9" s="70" t="s">
        <v>303</v>
      </c>
    </row>
    <row r="10" spans="1:18">
      <c r="A10" s="34"/>
      <c r="B10" s="677"/>
      <c r="C10" s="641"/>
      <c r="D10" s="641"/>
      <c r="E10" s="641"/>
      <c r="F10" s="641"/>
      <c r="G10" s="641"/>
      <c r="H10" s="641"/>
      <c r="I10" s="641"/>
      <c r="J10" s="678"/>
      <c r="K10" s="35"/>
      <c r="L10" s="109"/>
      <c r="M10" s="110"/>
      <c r="N10" s="110"/>
      <c r="O10" s="110"/>
      <c r="P10" s="110"/>
      <c r="Q10" s="110"/>
      <c r="R10" s="111"/>
    </row>
    <row r="11" spans="1:18">
      <c r="A11" s="34"/>
      <c r="B11" s="677"/>
      <c r="C11" s="641"/>
      <c r="D11" s="641"/>
      <c r="E11" s="641"/>
      <c r="F11" s="641"/>
      <c r="G11" s="641"/>
      <c r="H11" s="641"/>
      <c r="I11" s="641"/>
      <c r="J11" s="678"/>
      <c r="K11" s="35"/>
      <c r="L11" s="108" t="str">
        <f>+Idiomas!D87</f>
        <v>· Fill in the grey boxes with the group stage results for each group</v>
      </c>
      <c r="M11" s="43"/>
      <c r="N11" s="43"/>
      <c r="O11" s="43"/>
      <c r="P11" s="43"/>
      <c r="Q11" s="43"/>
      <c r="R11" s="112"/>
    </row>
    <row r="12" spans="1:18">
      <c r="A12" s="34"/>
      <c r="B12" s="679"/>
      <c r="C12" s="680"/>
      <c r="D12" s="680"/>
      <c r="E12" s="680"/>
      <c r="F12" s="680"/>
      <c r="G12" s="680"/>
      <c r="H12" s="680"/>
      <c r="I12" s="680"/>
      <c r="J12" s="681"/>
      <c r="K12" s="35"/>
      <c r="L12" s="108" t="str">
        <f>+Idiomas!D88</f>
        <v>· In case of a tie in the position of a group or in the best third-placed teams, you can select the order of the tied nations</v>
      </c>
      <c r="M12" s="43"/>
      <c r="N12" s="43"/>
      <c r="O12" s="43"/>
      <c r="P12" s="43"/>
      <c r="Q12" s="43"/>
      <c r="R12" s="112"/>
    </row>
    <row r="13" spans="1:18">
      <c r="A13" s="34"/>
      <c r="B13" s="39"/>
      <c r="C13" s="39"/>
      <c r="D13" s="39"/>
      <c r="E13" s="39"/>
      <c r="F13" s="39"/>
      <c r="G13" s="39"/>
      <c r="H13" s="39"/>
      <c r="I13" s="39"/>
      <c r="J13" s="39"/>
      <c r="K13" s="35"/>
      <c r="L13" s="108" t="str">
        <f>+Idiomas!D89</f>
        <v>· Playoffs are set automatically</v>
      </c>
      <c r="M13" s="43"/>
      <c r="N13" s="43"/>
      <c r="O13" s="43"/>
      <c r="P13" s="43"/>
      <c r="Q13" s="43"/>
      <c r="R13" s="112"/>
    </row>
    <row r="14" spans="1:18">
      <c r="A14" s="34"/>
      <c r="B14" s="40"/>
      <c r="C14" s="41"/>
      <c r="D14" s="41"/>
      <c r="E14" s="41"/>
      <c r="F14" s="41"/>
      <c r="G14" s="41"/>
      <c r="H14" s="41"/>
      <c r="I14" s="41"/>
      <c r="J14" s="42"/>
      <c r="K14" s="35"/>
      <c r="L14" s="108" t="str">
        <f>+Idiomas!D90</f>
        <v>· Fill in the results of the knockout stages. In the event of a tie, two cells are opened on the sides to introduce the result of the penalties</v>
      </c>
      <c r="M14" s="43"/>
      <c r="N14" s="43"/>
      <c r="O14" s="43"/>
      <c r="P14" s="43"/>
      <c r="Q14" s="43"/>
      <c r="R14" s="112"/>
    </row>
    <row r="15" spans="1:18">
      <c r="A15" s="34"/>
      <c r="B15" s="71" t="str">
        <f>Idiomas!D80</f>
        <v>Author:</v>
      </c>
      <c r="C15" s="43" t="s">
        <v>1276</v>
      </c>
      <c r="D15" s="43"/>
      <c r="E15" s="43" t="s">
        <v>1277</v>
      </c>
      <c r="F15" s="43"/>
      <c r="G15" s="43" t="s">
        <v>1278</v>
      </c>
      <c r="H15" s="43"/>
      <c r="I15" s="44"/>
      <c r="J15" s="45"/>
      <c r="K15" s="35"/>
      <c r="L15" s="108" t="str">
        <f>+Idiomas!D91</f>
        <v>· If you're going to participate in a pool/sweepstake, fill in the best players and top scorers</v>
      </c>
      <c r="M15" s="43"/>
      <c r="N15" s="43"/>
      <c r="O15" s="43"/>
      <c r="P15" s="43"/>
      <c r="Q15" s="43"/>
      <c r="R15" s="112"/>
    </row>
    <row r="16" spans="1:18">
      <c r="A16" s="34"/>
      <c r="B16" s="72" t="str">
        <f>Idiomas!D81</f>
        <v>Last version:</v>
      </c>
      <c r="C16" s="46">
        <v>46113</v>
      </c>
      <c r="D16" s="46"/>
      <c r="E16" s="47"/>
      <c r="F16" s="47"/>
      <c r="G16" s="47"/>
      <c r="H16" s="47"/>
      <c r="I16" s="48"/>
      <c r="J16" s="49"/>
      <c r="K16" s="35"/>
      <c r="L16" s="113"/>
      <c r="M16" s="114"/>
      <c r="N16" s="114"/>
      <c r="O16" s="114"/>
      <c r="P16" s="114"/>
      <c r="Q16" s="114"/>
      <c r="R16" s="115"/>
    </row>
    <row r="17" spans="1:158">
      <c r="A17" s="34"/>
      <c r="B17" s="50"/>
      <c r="C17" s="51"/>
      <c r="D17" s="51"/>
      <c r="E17" s="51"/>
      <c r="F17" s="51"/>
      <c r="G17" s="51"/>
      <c r="H17" s="51"/>
      <c r="I17" s="51"/>
      <c r="J17" s="52"/>
      <c r="K17" s="35"/>
    </row>
    <row r="18" spans="1:158">
      <c r="A18" s="34"/>
      <c r="B18" s="34"/>
      <c r="C18" s="34"/>
      <c r="D18" s="34"/>
      <c r="E18" s="35"/>
      <c r="F18" s="35"/>
      <c r="G18" s="34"/>
      <c r="H18" s="34"/>
      <c r="I18" s="34"/>
      <c r="J18" s="121"/>
      <c r="K18" s="35"/>
      <c r="L18" s="70" t="s">
        <v>472</v>
      </c>
    </row>
    <row r="19" spans="1:158" ht="19.899999999999999" customHeight="1">
      <c r="A19" s="35"/>
      <c r="B19" s="53"/>
      <c r="C19" s="55" t="str">
        <f>Idiomas!D83</f>
        <v>TO DOWNLOAD, CLICK ON</v>
      </c>
      <c r="D19" s="55"/>
      <c r="E19" s="106">
        <v>2</v>
      </c>
      <c r="F19" s="54"/>
      <c r="G19" s="55"/>
      <c r="H19" s="56"/>
      <c r="I19" s="56"/>
      <c r="J19" s="57"/>
      <c r="K19" s="35"/>
      <c r="L19" s="109"/>
      <c r="M19" s="110"/>
      <c r="N19" s="110"/>
      <c r="O19" s="110"/>
      <c r="P19" s="110"/>
      <c r="Q19" s="110"/>
      <c r="R19" s="111"/>
    </row>
    <row r="20" spans="1:158">
      <c r="A20" s="35"/>
      <c r="B20" s="62"/>
      <c r="C20" s="73" t="s">
        <v>1279</v>
      </c>
      <c r="D20" s="73"/>
      <c r="E20" s="74" t="s">
        <v>272</v>
      </c>
      <c r="F20" s="74"/>
      <c r="G20" s="74" t="s">
        <v>0</v>
      </c>
      <c r="H20" s="58"/>
      <c r="I20" s="58"/>
      <c r="J20" s="49"/>
      <c r="K20" s="35"/>
      <c r="L20" s="108" t="str">
        <f>+Idiomas!D94</f>
        <v>· On this sheet you don't have to write anything</v>
      </c>
      <c r="M20" s="43"/>
      <c r="N20" s="43"/>
      <c r="O20" s="43"/>
      <c r="P20" s="43"/>
      <c r="Q20" s="43"/>
      <c r="R20" s="112"/>
    </row>
    <row r="21" spans="1:158" s="67" customFormat="1" ht="19.899999999999999" customHeight="1">
      <c r="A21" s="63"/>
      <c r="B21" s="64"/>
      <c r="C21" s="69" t="s">
        <v>1280</v>
      </c>
      <c r="D21" s="78"/>
      <c r="E21" s="75">
        <v>2</v>
      </c>
      <c r="F21" s="78"/>
      <c r="G21" s="75">
        <v>2</v>
      </c>
      <c r="H21" s="65"/>
      <c r="I21" s="58"/>
      <c r="J21" s="66"/>
      <c r="K21" s="63"/>
      <c r="L21" s="108" t="str">
        <f>+Idiomas!D95</f>
        <v>· It is used for the organizer of the sweepstakes to copy these results and paste them into the administrator file</v>
      </c>
      <c r="M21" s="43"/>
      <c r="N21" s="43"/>
      <c r="O21" s="43"/>
      <c r="P21" s="43"/>
      <c r="Q21" s="43"/>
      <c r="R21" s="112"/>
      <c r="T21" s="9"/>
      <c r="U21" s="341"/>
      <c r="V21" s="341"/>
      <c r="W21" s="341"/>
      <c r="X21" s="341"/>
      <c r="Y21" s="341"/>
      <c r="Z21" s="335"/>
      <c r="AA21" s="335"/>
      <c r="AB21" s="335"/>
      <c r="ET21" s="335"/>
      <c r="EU21" s="335"/>
      <c r="EV21" s="335"/>
      <c r="EW21" s="335"/>
      <c r="EX21" s="335"/>
      <c r="EY21" s="335"/>
      <c r="EZ21" s="335"/>
      <c r="FA21" s="335"/>
      <c r="FB21" s="335"/>
    </row>
    <row r="22" spans="1:158" s="67" customFormat="1" ht="1.9" customHeight="1">
      <c r="A22" s="63"/>
      <c r="B22" s="64"/>
      <c r="C22" s="65"/>
      <c r="D22" s="65"/>
      <c r="E22" s="65"/>
      <c r="F22" s="65"/>
      <c r="G22" s="65"/>
      <c r="H22" s="65"/>
      <c r="I22" s="58"/>
      <c r="J22" s="66"/>
      <c r="K22" s="63"/>
      <c r="L22" s="108"/>
      <c r="M22" s="43"/>
      <c r="N22" s="43"/>
      <c r="O22" s="43"/>
      <c r="P22" s="43"/>
      <c r="Q22" s="43"/>
      <c r="R22" s="112"/>
      <c r="T22" s="9"/>
      <c r="U22" s="341"/>
      <c r="V22" s="341"/>
      <c r="W22" s="341"/>
      <c r="X22" s="341"/>
      <c r="Y22" s="341"/>
      <c r="Z22" s="335"/>
      <c r="AA22" s="335"/>
      <c r="AB22" s="335"/>
      <c r="ET22" s="335"/>
      <c r="EU22" s="335"/>
      <c r="EV22" s="335"/>
      <c r="EW22" s="335"/>
      <c r="EX22" s="335"/>
      <c r="EY22" s="335"/>
      <c r="EZ22" s="335"/>
      <c r="FA22" s="335"/>
      <c r="FB22" s="335"/>
    </row>
    <row r="23" spans="1:158" s="67" customFormat="1" ht="19.899999999999999" customHeight="1">
      <c r="A23" s="63"/>
      <c r="B23" s="64"/>
      <c r="C23" s="69" t="s">
        <v>1281</v>
      </c>
      <c r="D23" s="78"/>
      <c r="E23" s="76">
        <v>2</v>
      </c>
      <c r="F23" s="78"/>
      <c r="G23" s="76">
        <v>2</v>
      </c>
      <c r="H23" s="65"/>
      <c r="I23" s="65"/>
      <c r="J23" s="66"/>
      <c r="K23" s="63"/>
      <c r="L23" s="113"/>
      <c r="M23" s="114"/>
      <c r="N23" s="114"/>
      <c r="O23" s="114"/>
      <c r="P23" s="114"/>
      <c r="Q23" s="114"/>
      <c r="R23" s="115"/>
      <c r="T23" s="9"/>
      <c r="U23" s="341"/>
      <c r="V23" s="341"/>
      <c r="W23" s="341"/>
      <c r="X23" s="341"/>
      <c r="Y23" s="341"/>
      <c r="Z23" s="335"/>
      <c r="AA23" s="335"/>
      <c r="AB23" s="335"/>
      <c r="ET23" s="335"/>
      <c r="EU23" s="335"/>
      <c r="EV23" s="335"/>
      <c r="EW23" s="335"/>
      <c r="EX23" s="335"/>
      <c r="EY23" s="335"/>
      <c r="EZ23" s="335"/>
      <c r="FA23" s="335"/>
      <c r="FB23" s="335"/>
    </row>
    <row r="24" spans="1:158" s="67" customFormat="1" ht="1.9" customHeight="1">
      <c r="A24" s="63"/>
      <c r="B24" s="64"/>
      <c r="C24" s="65"/>
      <c r="D24" s="65"/>
      <c r="E24" s="65"/>
      <c r="F24" s="65"/>
      <c r="G24" s="65"/>
      <c r="H24" s="65"/>
      <c r="I24" s="65"/>
      <c r="J24" s="66"/>
      <c r="K24" s="63"/>
      <c r="L24" s="68"/>
      <c r="M24" s="68"/>
      <c r="N24" s="68"/>
      <c r="O24" s="68"/>
      <c r="P24" s="68"/>
      <c r="Q24" s="68"/>
      <c r="R24" s="68"/>
      <c r="T24" s="9"/>
      <c r="U24" s="341"/>
      <c r="V24" s="341"/>
      <c r="W24" s="341"/>
      <c r="X24" s="341"/>
      <c r="Y24" s="341"/>
      <c r="Z24" s="335"/>
      <c r="AA24" s="335"/>
      <c r="AB24" s="335"/>
      <c r="ET24" s="335"/>
      <c r="EU24" s="335"/>
      <c r="EV24" s="335"/>
      <c r="EW24" s="335"/>
      <c r="EX24" s="335"/>
      <c r="EY24" s="335"/>
      <c r="EZ24" s="335"/>
      <c r="FA24" s="335"/>
      <c r="FB24" s="335"/>
    </row>
    <row r="25" spans="1:158" s="67" customFormat="1" ht="19.899999999999999" customHeight="1">
      <c r="A25" s="63"/>
      <c r="B25" s="64"/>
      <c r="C25" s="69" t="s">
        <v>1282</v>
      </c>
      <c r="D25" s="78"/>
      <c r="E25" s="76">
        <v>2</v>
      </c>
      <c r="F25" s="78"/>
      <c r="G25" s="77">
        <v>0</v>
      </c>
      <c r="H25" s="65"/>
      <c r="I25" s="65"/>
      <c r="J25" s="66"/>
      <c r="K25" s="63"/>
      <c r="L25" s="116" t="s">
        <v>230</v>
      </c>
      <c r="T25" s="9"/>
      <c r="U25" s="341"/>
      <c r="V25" s="341"/>
      <c r="W25" s="341"/>
      <c r="X25" s="341"/>
      <c r="Y25" s="341"/>
      <c r="Z25" s="335"/>
      <c r="AA25" s="335"/>
      <c r="AB25" s="335"/>
      <c r="ET25" s="335"/>
      <c r="EU25" s="335"/>
      <c r="EV25" s="335"/>
      <c r="EW25" s="335"/>
      <c r="EX25" s="335"/>
      <c r="EY25" s="335"/>
      <c r="EZ25" s="335"/>
      <c r="FA25" s="335"/>
      <c r="FB25" s="335"/>
    </row>
    <row r="26" spans="1:158" s="67" customFormat="1" ht="1.9" customHeight="1">
      <c r="A26" s="63"/>
      <c r="B26" s="64"/>
      <c r="C26" s="65"/>
      <c r="D26" s="65"/>
      <c r="E26" s="65"/>
      <c r="F26" s="65"/>
      <c r="G26" s="65"/>
      <c r="H26" s="65"/>
      <c r="I26" s="65"/>
      <c r="J26" s="66"/>
      <c r="K26" s="63"/>
      <c r="L26" s="68"/>
      <c r="M26" s="68"/>
      <c r="N26" s="68"/>
      <c r="O26" s="68"/>
      <c r="P26" s="68"/>
      <c r="Q26" s="68"/>
      <c r="R26" s="68"/>
      <c r="T26" s="9"/>
      <c r="U26" s="341"/>
      <c r="V26" s="341"/>
      <c r="W26" s="341"/>
      <c r="X26" s="341"/>
      <c r="Y26" s="341"/>
      <c r="Z26" s="335"/>
      <c r="AA26" s="335"/>
      <c r="AB26" s="335"/>
      <c r="ET26" s="335"/>
      <c r="EU26" s="335"/>
      <c r="EV26" s="335"/>
      <c r="EW26" s="335"/>
      <c r="EX26" s="335"/>
      <c r="EY26" s="335"/>
      <c r="EZ26" s="335"/>
      <c r="FA26" s="335"/>
      <c r="FB26" s="335"/>
    </row>
    <row r="27" spans="1:158" s="67" customFormat="1" ht="19.899999999999999" customHeight="1">
      <c r="A27" s="63"/>
      <c r="B27" s="64"/>
      <c r="C27" s="69" t="s">
        <v>1283</v>
      </c>
      <c r="D27" s="78"/>
      <c r="E27" s="76">
        <v>2</v>
      </c>
      <c r="F27" s="78"/>
      <c r="G27" s="77">
        <v>0</v>
      </c>
      <c r="H27" s="65"/>
      <c r="I27" s="65"/>
      <c r="J27" s="66"/>
      <c r="K27" s="63"/>
      <c r="L27" s="109" t="str">
        <f>+Idiomas!D96</f>
        <v>· This sheet shows a view of all the results entered in the WORLDCUP sheet, nothing is filled in on this sheet.</v>
      </c>
      <c r="M27" s="110"/>
      <c r="N27" s="110"/>
      <c r="O27" s="110"/>
      <c r="P27" s="110"/>
      <c r="Q27" s="110"/>
      <c r="R27" s="111"/>
      <c r="T27" s="9"/>
      <c r="U27" s="341"/>
      <c r="V27" s="341"/>
      <c r="W27" s="341"/>
      <c r="X27" s="341"/>
      <c r="Y27" s="341"/>
      <c r="Z27" s="335"/>
      <c r="AA27" s="335"/>
      <c r="AB27" s="335"/>
      <c r="ET27" s="335"/>
      <c r="EU27" s="335"/>
      <c r="EV27" s="335"/>
      <c r="EW27" s="335"/>
      <c r="EX27" s="335"/>
      <c r="EY27" s="335"/>
      <c r="EZ27" s="335"/>
      <c r="FA27" s="335"/>
      <c r="FB27" s="335"/>
    </row>
    <row r="28" spans="1:158" s="67" customFormat="1" ht="1.9" customHeight="1">
      <c r="A28" s="63"/>
      <c r="B28" s="64"/>
      <c r="C28" s="65"/>
      <c r="D28" s="65"/>
      <c r="E28" s="65"/>
      <c r="F28" s="65"/>
      <c r="G28" s="65"/>
      <c r="H28" s="65"/>
      <c r="I28" s="65"/>
      <c r="J28" s="66"/>
      <c r="K28" s="63"/>
      <c r="L28" s="163"/>
      <c r="M28" s="164"/>
      <c r="N28" s="164"/>
      <c r="O28" s="164"/>
      <c r="P28" s="164"/>
      <c r="Q28" s="164"/>
      <c r="R28" s="164"/>
      <c r="T28" s="9"/>
      <c r="U28" s="341"/>
      <c r="V28" s="341"/>
      <c r="W28" s="341"/>
      <c r="X28" s="341"/>
      <c r="Y28" s="341"/>
      <c r="Z28" s="335"/>
      <c r="AA28" s="335"/>
      <c r="AB28" s="335"/>
      <c r="ET28" s="335"/>
      <c r="EU28" s="335"/>
      <c r="EV28" s="335"/>
      <c r="EW28" s="335"/>
      <c r="EX28" s="335"/>
      <c r="EY28" s="335"/>
      <c r="EZ28" s="335"/>
      <c r="FA28" s="335"/>
      <c r="FB28" s="335"/>
    </row>
    <row r="29" spans="1:158" s="67" customFormat="1" ht="19.899999999999999" customHeight="1">
      <c r="A29" s="63"/>
      <c r="B29" s="64"/>
      <c r="C29" s="69" t="s">
        <v>1284</v>
      </c>
      <c r="D29" s="78"/>
      <c r="E29" s="77">
        <v>0</v>
      </c>
      <c r="F29" s="78"/>
      <c r="G29" s="76">
        <v>2</v>
      </c>
      <c r="H29" s="65"/>
      <c r="I29" s="65"/>
      <c r="J29" s="66"/>
      <c r="K29" s="63"/>
      <c r="T29" s="9"/>
      <c r="U29" s="341"/>
      <c r="V29" s="341"/>
      <c r="W29" s="341"/>
      <c r="X29" s="341"/>
      <c r="Y29" s="341"/>
      <c r="Z29" s="335"/>
      <c r="AA29" s="335"/>
      <c r="AB29" s="335"/>
      <c r="ET29" s="335"/>
      <c r="EU29" s="335"/>
      <c r="EV29" s="335"/>
      <c r="EW29" s="335"/>
      <c r="EX29" s="335"/>
      <c r="EY29" s="335"/>
      <c r="EZ29" s="335"/>
      <c r="FA29" s="335"/>
      <c r="FB29" s="335"/>
    </row>
    <row r="30" spans="1:158" s="67" customFormat="1" ht="1.9" customHeight="1">
      <c r="A30" s="63"/>
      <c r="B30" s="64"/>
      <c r="C30" s="65"/>
      <c r="D30" s="65"/>
      <c r="E30" s="65"/>
      <c r="F30" s="65"/>
      <c r="G30" s="65"/>
      <c r="H30" s="65"/>
      <c r="I30" s="65"/>
      <c r="J30" s="66"/>
      <c r="K30" s="63"/>
      <c r="T30" s="9"/>
      <c r="U30" s="341"/>
      <c r="V30" s="341"/>
      <c r="W30" s="341"/>
      <c r="X30" s="341"/>
      <c r="Y30" s="341"/>
      <c r="Z30" s="335"/>
      <c r="AA30" s="335"/>
      <c r="AB30" s="335"/>
      <c r="ET30" s="335"/>
      <c r="EU30" s="335"/>
      <c r="EV30" s="335"/>
      <c r="EW30" s="335"/>
      <c r="EX30" s="335"/>
      <c r="EY30" s="335"/>
      <c r="EZ30" s="335"/>
      <c r="FA30" s="335"/>
      <c r="FB30" s="335"/>
    </row>
    <row r="31" spans="1:158" s="67" customFormat="1" ht="19.899999999999999" customHeight="1">
      <c r="A31" s="63"/>
      <c r="B31" s="64"/>
      <c r="C31" s="69" t="s">
        <v>1285</v>
      </c>
      <c r="D31" s="78"/>
      <c r="E31" s="76">
        <v>2</v>
      </c>
      <c r="F31" s="78"/>
      <c r="G31" s="77">
        <v>0</v>
      </c>
      <c r="H31" s="65"/>
      <c r="I31" s="65"/>
      <c r="J31" s="66"/>
      <c r="K31" s="63"/>
      <c r="T31" s="9"/>
      <c r="U31" s="341"/>
      <c r="V31" s="341"/>
      <c r="W31" s="341"/>
      <c r="X31" s="341"/>
      <c r="Y31" s="341"/>
      <c r="Z31" s="335"/>
      <c r="AA31" s="335"/>
      <c r="AB31" s="335"/>
      <c r="ET31" s="335"/>
      <c r="EU31" s="335"/>
      <c r="EV31" s="335"/>
      <c r="EW31" s="335"/>
      <c r="EX31" s="335"/>
      <c r="EY31" s="335"/>
      <c r="EZ31" s="335"/>
      <c r="FA31" s="335"/>
      <c r="FB31" s="335"/>
    </row>
    <row r="32" spans="1:158">
      <c r="A32" s="35"/>
      <c r="B32" s="59"/>
      <c r="C32" s="60"/>
      <c r="D32" s="60"/>
      <c r="E32" s="60"/>
      <c r="F32" s="60"/>
      <c r="G32" s="60"/>
      <c r="H32" s="60"/>
      <c r="I32" s="60"/>
      <c r="J32" s="61"/>
      <c r="K32" s="35"/>
      <c r="L32" s="67"/>
      <c r="M32" s="67"/>
      <c r="N32" s="67"/>
      <c r="O32" s="67"/>
      <c r="P32" s="67"/>
      <c r="Q32" s="67"/>
      <c r="R32" s="67"/>
    </row>
    <row r="33" spans="1:17" ht="16.149999999999999" customHeight="1" thickBot="1">
      <c r="A33" s="35"/>
      <c r="K33" s="35"/>
    </row>
    <row r="34" spans="1:17" ht="28.15" customHeight="1" thickBot="1">
      <c r="A34" s="35"/>
      <c r="B34" s="671" t="str">
        <f>HYPERLINK(Idiomas!D10,Idiomas!D9)</f>
        <v>▼ Download Administrator Excel File ▼</v>
      </c>
      <c r="C34" s="672"/>
      <c r="D34" s="672"/>
      <c r="E34" s="672"/>
      <c r="F34" s="672"/>
      <c r="G34" s="672"/>
      <c r="H34" s="672"/>
      <c r="I34" s="672"/>
      <c r="J34" s="673"/>
      <c r="K34" s="35"/>
      <c r="L34" s="81" t="s">
        <v>1286</v>
      </c>
    </row>
    <row r="35" spans="1:17">
      <c r="A35" s="35"/>
      <c r="C35" s="35"/>
      <c r="D35" s="35"/>
      <c r="E35" s="35"/>
      <c r="F35" s="35"/>
      <c r="G35" s="35"/>
      <c r="H35" s="35"/>
      <c r="I35" s="35"/>
      <c r="J35" s="35"/>
      <c r="K35" s="35"/>
      <c r="L35" s="35"/>
      <c r="M35" s="34"/>
      <c r="N35" s="35"/>
      <c r="O35" s="35"/>
      <c r="P35" s="35"/>
      <c r="Q35" s="35"/>
    </row>
    <row r="36" spans="1:17" ht="28.15" customHeight="1">
      <c r="A36" s="35"/>
      <c r="D36" s="35"/>
      <c r="E36" s="35"/>
      <c r="F36" s="35"/>
      <c r="G36" s="35"/>
      <c r="H36" s="35"/>
      <c r="I36" s="35"/>
      <c r="J36" s="35"/>
      <c r="K36" s="35"/>
      <c r="L36" s="35"/>
      <c r="M36" s="34"/>
      <c r="N36" s="35"/>
      <c r="O36" s="35"/>
      <c r="P36" s="35"/>
      <c r="Q36" s="35"/>
    </row>
    <row r="37" spans="1:17" ht="15" customHeight="1">
      <c r="A37" s="35"/>
      <c r="K37" s="35"/>
      <c r="L37" s="35"/>
      <c r="M37" s="34"/>
      <c r="N37" s="35"/>
      <c r="O37" s="35"/>
      <c r="P37" s="35"/>
      <c r="Q37" s="35"/>
    </row>
    <row r="38" spans="1:17" ht="34.15" customHeight="1">
      <c r="A38" s="35"/>
      <c r="B38" s="35"/>
      <c r="D38" s="35"/>
      <c r="E38" s="35"/>
      <c r="F38" s="35"/>
      <c r="G38" s="35"/>
      <c r="H38" s="35"/>
      <c r="I38" s="35"/>
      <c r="J38" s="35"/>
      <c r="K38" s="35"/>
      <c r="M38" s="35"/>
      <c r="N38" s="35"/>
      <c r="O38" s="35"/>
      <c r="P38" s="35"/>
      <c r="Q38" s="35"/>
    </row>
    <row r="39" spans="1:17">
      <c r="A39" s="35"/>
      <c r="B39" s="35"/>
      <c r="C39" s="35"/>
      <c r="D39" s="35"/>
      <c r="E39" s="35"/>
      <c r="F39" s="35"/>
      <c r="G39" s="35"/>
      <c r="H39" s="35"/>
      <c r="I39" s="35"/>
      <c r="J39" s="35"/>
      <c r="K39" s="35"/>
      <c r="L39" s="35"/>
      <c r="M39" s="35"/>
      <c r="N39" s="35"/>
      <c r="O39" s="35"/>
      <c r="P39" s="35"/>
      <c r="Q39" s="35"/>
    </row>
    <row r="40" spans="1:17">
      <c r="A40" s="35"/>
      <c r="B40" s="35"/>
      <c r="C40" s="35"/>
      <c r="D40" s="35"/>
      <c r="E40" s="35"/>
      <c r="F40" s="35"/>
      <c r="G40" s="35"/>
      <c r="H40" s="35"/>
      <c r="I40" s="35"/>
      <c r="J40" s="35"/>
      <c r="K40" s="35"/>
      <c r="L40" s="35"/>
      <c r="M40" s="35"/>
      <c r="N40" s="35"/>
      <c r="O40" s="35"/>
      <c r="P40" s="35"/>
      <c r="Q40" s="35"/>
    </row>
    <row r="41" spans="1:17">
      <c r="A41" s="35"/>
      <c r="B41" s="35"/>
      <c r="C41" s="35"/>
      <c r="D41" s="35"/>
      <c r="E41" s="35"/>
      <c r="F41" s="35"/>
      <c r="G41" s="35"/>
      <c r="H41" s="35"/>
      <c r="I41" s="35"/>
      <c r="J41" s="35"/>
      <c r="K41" s="35"/>
      <c r="L41" s="35"/>
      <c r="M41" s="35"/>
      <c r="N41" s="35"/>
      <c r="O41" s="35"/>
      <c r="P41" s="35"/>
      <c r="Q41" s="35"/>
    </row>
    <row r="45" spans="1:17">
      <c r="B45" s="35"/>
    </row>
    <row r="83" spans="12:28">
      <c r="L83" s="3"/>
      <c r="M83" s="3"/>
      <c r="N83" s="3"/>
      <c r="O83" s="336"/>
      <c r="P83" s="5"/>
      <c r="Q83" s="5"/>
      <c r="R83" s="5"/>
      <c r="U83" s="6"/>
      <c r="V83" s="6"/>
      <c r="W83" s="6"/>
      <c r="X83" s="6"/>
      <c r="Y83" s="6"/>
      <c r="Z83" s="5"/>
      <c r="AA83" s="5"/>
      <c r="AB83" s="5"/>
    </row>
    <row r="84" spans="12:28" ht="60" customHeight="1">
      <c r="L84" s="3"/>
      <c r="M84" s="670"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41"/>
      <c r="O84" s="641"/>
      <c r="P84" s="641"/>
      <c r="Q84" s="641"/>
      <c r="R84" s="641"/>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65" t="s">
        <v>1287</v>
      </c>
      <c r="N86" s="5"/>
      <c r="O86" s="5"/>
      <c r="P86" s="5"/>
      <c r="Q86" s="5"/>
      <c r="R86" s="5"/>
      <c r="T86" s="9" t="s">
        <v>1288</v>
      </c>
      <c r="U86" s="165" t="s">
        <v>1289</v>
      </c>
      <c r="V86" s="165" t="s">
        <v>1290</v>
      </c>
      <c r="W86" s="165" t="s">
        <v>1291</v>
      </c>
      <c r="X86" s="165" t="s">
        <v>1292</v>
      </c>
      <c r="Y86" s="165" t="s">
        <v>1293</v>
      </c>
      <c r="Z86" s="5"/>
      <c r="AA86" s="5"/>
      <c r="AB86" s="5"/>
    </row>
    <row r="87" spans="12:28">
      <c r="L87" s="3"/>
      <c r="M87" s="342"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37" t="e">
        <v>#VALUE!</v>
      </c>
      <c r="Y88" s="6">
        <v>4</v>
      </c>
      <c r="Z88" s="5"/>
      <c r="AA88" s="5"/>
      <c r="AB88" s="5"/>
    </row>
    <row r="89" spans="12:28" ht="16.149999999999999" customHeight="1">
      <c r="L89" s="3"/>
      <c r="M89" s="3"/>
      <c r="N89" s="3"/>
      <c r="O89" s="5"/>
      <c r="P89" s="5"/>
      <c r="Q89" s="5"/>
      <c r="R89" s="5"/>
      <c r="T89" s="9" t="s">
        <v>1302</v>
      </c>
      <c r="U89" s="6" t="s">
        <v>1303</v>
      </c>
      <c r="V89" s="6" t="s">
        <v>1303</v>
      </c>
      <c r="W89" s="338" t="s">
        <v>1304</v>
      </c>
      <c r="X89" s="337" t="e">
        <v>#VALUE!</v>
      </c>
      <c r="Y89" s="6">
        <v>-4</v>
      </c>
      <c r="Z89" s="5"/>
      <c r="AA89" s="5"/>
      <c r="AB89" s="5"/>
    </row>
    <row r="90" spans="12:28" ht="16.149999999999999" customHeight="1">
      <c r="L90" s="3"/>
      <c r="M90" s="3"/>
      <c r="N90" s="3"/>
      <c r="O90" s="5"/>
      <c r="P90" s="5"/>
      <c r="Q90" s="5"/>
      <c r="R90" s="5"/>
      <c r="T90" s="9" t="s">
        <v>1305</v>
      </c>
      <c r="U90" s="6" t="s">
        <v>1306</v>
      </c>
      <c r="V90" s="6" t="s">
        <v>1307</v>
      </c>
      <c r="W90" s="339" t="s">
        <v>1308</v>
      </c>
      <c r="X90" s="337"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65" t="s">
        <v>1289</v>
      </c>
      <c r="O92" s="165" t="s">
        <v>1290</v>
      </c>
      <c r="P92" s="165" t="s">
        <v>1310</v>
      </c>
      <c r="Q92" s="165" t="s">
        <v>1311</v>
      </c>
      <c r="R92" s="165" t="s">
        <v>1292</v>
      </c>
      <c r="Z92" s="5"/>
      <c r="AA92" s="5"/>
      <c r="AB92" s="5"/>
    </row>
    <row r="93" spans="12:28" ht="25.15" customHeight="1">
      <c r="L93" s="3"/>
      <c r="M93" s="6" t="s">
        <v>1309</v>
      </c>
      <c r="N93" s="340" t="s">
        <v>1312</v>
      </c>
      <c r="O93" s="340" t="s">
        <v>1313</v>
      </c>
      <c r="P93" s="340"/>
      <c r="Q93" s="340"/>
      <c r="R93" s="340"/>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43"/>
      <c r="EZ6119" s="343" t="s">
        <v>1315</v>
      </c>
      <c r="FA6119" s="343" t="s">
        <v>1316</v>
      </c>
    </row>
    <row r="6120" spans="151:157">
      <c r="EU6120" s="9" t="str">
        <f t="shared" si="0"/>
        <v>Arabia Saudita</v>
      </c>
      <c r="EV6120" s="9" t="str">
        <f t="shared" si="1"/>
        <v>Saudi Arabia</v>
      </c>
      <c r="EW6120" s="9"/>
      <c r="EX6120" s="9"/>
      <c r="EY6120" s="343"/>
      <c r="EZ6120" s="343" t="s">
        <v>1317</v>
      </c>
      <c r="FA6120" s="343" t="s">
        <v>1318</v>
      </c>
    </row>
    <row r="6121" spans="151:157">
      <c r="EU6121" s="9" t="str">
        <f t="shared" si="0"/>
        <v>Argelia</v>
      </c>
      <c r="EV6121" s="9" t="str">
        <f t="shared" si="1"/>
        <v>Algeria</v>
      </c>
      <c r="EW6121" s="9"/>
      <c r="EX6121" s="9"/>
      <c r="EY6121" s="343"/>
      <c r="EZ6121" s="343" t="s">
        <v>1319</v>
      </c>
      <c r="FA6121" s="343" t="s">
        <v>1320</v>
      </c>
    </row>
    <row r="6122" spans="151:157">
      <c r="EU6122" s="9" t="str">
        <f t="shared" si="0"/>
        <v>Argentina</v>
      </c>
      <c r="EV6122" s="9" t="str">
        <f t="shared" si="1"/>
        <v>Argentina</v>
      </c>
      <c r="EW6122" s="9"/>
      <c r="EX6122" s="9"/>
      <c r="EY6122" s="343"/>
      <c r="EZ6122" s="343" t="s">
        <v>1321</v>
      </c>
      <c r="FA6122" s="343" t="s">
        <v>1321</v>
      </c>
    </row>
    <row r="6123" spans="151:157">
      <c r="EU6123" s="9" t="str">
        <f t="shared" si="0"/>
        <v>Australia</v>
      </c>
      <c r="EV6123" s="9" t="str">
        <f t="shared" si="1"/>
        <v>Australia</v>
      </c>
      <c r="EW6123" s="9"/>
      <c r="EX6123" s="9"/>
      <c r="EY6123" s="343"/>
      <c r="EZ6123" s="343" t="s">
        <v>1322</v>
      </c>
      <c r="FA6123" s="343" t="s">
        <v>1322</v>
      </c>
    </row>
    <row r="6124" spans="151:157">
      <c r="EU6124" s="9" t="str">
        <f t="shared" si="0"/>
        <v>Austria</v>
      </c>
      <c r="EV6124" s="9" t="str">
        <f t="shared" si="1"/>
        <v>Austria</v>
      </c>
      <c r="EW6124" s="9"/>
      <c r="EX6124" s="9"/>
      <c r="EY6124" s="343"/>
      <c r="EZ6124" s="343" t="s">
        <v>1323</v>
      </c>
      <c r="FA6124" s="343" t="s">
        <v>1323</v>
      </c>
    </row>
    <row r="6125" spans="151:157">
      <c r="EU6125" s="9" t="str">
        <f t="shared" si="0"/>
        <v>Bélgica</v>
      </c>
      <c r="EV6125" s="9" t="str">
        <f t="shared" si="1"/>
        <v>Belgium</v>
      </c>
      <c r="EW6125" s="9"/>
      <c r="EX6125" s="9"/>
      <c r="EY6125" s="343"/>
      <c r="EZ6125" s="343" t="s">
        <v>1324</v>
      </c>
      <c r="FA6125" s="343" t="s">
        <v>1325</v>
      </c>
    </row>
    <row r="6126" spans="151:157">
      <c r="EU6126" s="9" t="str">
        <f t="shared" si="0"/>
        <v>Brasil</v>
      </c>
      <c r="EV6126" s="9" t="str">
        <f t="shared" si="1"/>
        <v>Brazil</v>
      </c>
      <c r="EW6126" s="9"/>
      <c r="EX6126" s="9"/>
      <c r="EY6126" s="343"/>
      <c r="EZ6126" s="343" t="s">
        <v>1326</v>
      </c>
      <c r="FA6126" s="343" t="s">
        <v>1327</v>
      </c>
    </row>
    <row r="6127" spans="151:157">
      <c r="EU6127" s="9" t="str">
        <f t="shared" si="0"/>
        <v>Cabo Verde</v>
      </c>
      <c r="EV6127" s="9" t="str">
        <f t="shared" si="1"/>
        <v>Cape Verde</v>
      </c>
      <c r="EW6127" s="9"/>
      <c r="EX6127" s="9"/>
      <c r="EY6127" s="343"/>
      <c r="EZ6127" s="343" t="s">
        <v>1328</v>
      </c>
      <c r="FA6127" s="343" t="s">
        <v>1329</v>
      </c>
    </row>
    <row r="6128" spans="151:157">
      <c r="EU6128" s="9" t="str">
        <f t="shared" si="0"/>
        <v>Canadá</v>
      </c>
      <c r="EV6128" s="9" t="str">
        <f t="shared" si="1"/>
        <v>Canada</v>
      </c>
      <c r="EW6128" s="9"/>
      <c r="EX6128" s="9"/>
      <c r="EY6128" s="343"/>
      <c r="EZ6128" s="343" t="s">
        <v>1330</v>
      </c>
      <c r="FA6128" s="343" t="s">
        <v>1331</v>
      </c>
    </row>
    <row r="6129" spans="151:157">
      <c r="EU6129" s="9" t="str">
        <f t="shared" si="0"/>
        <v>Catar</v>
      </c>
      <c r="EV6129" s="9" t="str">
        <f t="shared" si="1"/>
        <v>Qatar</v>
      </c>
      <c r="EW6129" s="9"/>
      <c r="EX6129" s="9"/>
      <c r="EY6129" s="343"/>
      <c r="EZ6129" s="343" t="s">
        <v>1332</v>
      </c>
      <c r="FA6129" s="343" t="s">
        <v>1333</v>
      </c>
    </row>
    <row r="6130" spans="151:157">
      <c r="EU6130" s="9" t="str">
        <f t="shared" si="0"/>
        <v>Colombia</v>
      </c>
      <c r="EV6130" s="9" t="str">
        <f t="shared" si="1"/>
        <v>Colombia</v>
      </c>
      <c r="EW6130" s="9"/>
      <c r="EX6130" s="9"/>
      <c r="EY6130" s="343"/>
      <c r="EZ6130" s="343" t="s">
        <v>1334</v>
      </c>
      <c r="FA6130" s="343" t="s">
        <v>1334</v>
      </c>
    </row>
    <row r="6131" spans="151:157">
      <c r="EU6131" s="9" t="str">
        <f t="shared" si="0"/>
        <v>Corea del Sur</v>
      </c>
      <c r="EV6131" s="9" t="str">
        <f t="shared" si="1"/>
        <v>South Korea</v>
      </c>
      <c r="EW6131" s="9"/>
      <c r="EX6131" s="9"/>
      <c r="EY6131" s="343"/>
      <c r="EZ6131" s="343" t="s">
        <v>1335</v>
      </c>
      <c r="FA6131" s="343" t="s">
        <v>1336</v>
      </c>
    </row>
    <row r="6132" spans="151:157">
      <c r="EU6132" s="9" t="str">
        <f t="shared" si="0"/>
        <v>Costa de Marfil</v>
      </c>
      <c r="EV6132" s="9" t="str">
        <f t="shared" si="1"/>
        <v>Ivory Coast</v>
      </c>
      <c r="EW6132" s="9"/>
      <c r="EX6132" s="9"/>
      <c r="EY6132" s="9"/>
      <c r="EZ6132" s="9" t="s">
        <v>1337</v>
      </c>
      <c r="FA6132" s="343" t="s">
        <v>1338</v>
      </c>
    </row>
    <row r="6133" spans="151:157">
      <c r="EU6133" s="9" t="str">
        <f t="shared" si="0"/>
        <v>Croacia</v>
      </c>
      <c r="EV6133" s="9" t="str">
        <f t="shared" si="1"/>
        <v>Croatia</v>
      </c>
      <c r="EW6133" s="9"/>
      <c r="EX6133" s="9"/>
      <c r="EY6133" s="343"/>
      <c r="EZ6133" s="343" t="s">
        <v>1339</v>
      </c>
      <c r="FA6133" s="343" t="s">
        <v>1340</v>
      </c>
    </row>
    <row r="6134" spans="151:157">
      <c r="EU6134" s="9" t="str">
        <f t="shared" si="0"/>
        <v>Curazao</v>
      </c>
      <c r="EV6134" s="9" t="str">
        <f t="shared" si="1"/>
        <v>Curaçao</v>
      </c>
      <c r="EW6134" s="9"/>
      <c r="EX6134" s="9"/>
      <c r="EY6134" s="343"/>
      <c r="EZ6134" s="343" t="s">
        <v>1341</v>
      </c>
      <c r="FA6134" s="343" t="s">
        <v>1342</v>
      </c>
    </row>
    <row r="6135" spans="151:157">
      <c r="EU6135" s="9" t="str">
        <f t="shared" si="0"/>
        <v>Ecuador</v>
      </c>
      <c r="EV6135" s="9" t="str">
        <f t="shared" si="1"/>
        <v>Ecuador</v>
      </c>
      <c r="EW6135" s="9"/>
      <c r="EX6135" s="9"/>
      <c r="EY6135" s="343"/>
      <c r="EZ6135" s="343" t="s">
        <v>1343</v>
      </c>
      <c r="FA6135" s="343" t="s">
        <v>1343</v>
      </c>
    </row>
    <row r="6136" spans="151:157">
      <c r="EU6136" s="9" t="str">
        <f t="shared" si="0"/>
        <v>Egipto</v>
      </c>
      <c r="EV6136" s="9" t="str">
        <f t="shared" si="1"/>
        <v>Egypt</v>
      </c>
      <c r="EW6136" s="9"/>
      <c r="EX6136" s="9"/>
      <c r="EY6136" s="343"/>
      <c r="EZ6136" s="343" t="s">
        <v>1344</v>
      </c>
      <c r="FA6136" s="343" t="s">
        <v>1345</v>
      </c>
    </row>
    <row r="6137" spans="151:157">
      <c r="EU6137" s="9" t="str">
        <f t="shared" si="0"/>
        <v>Escocia</v>
      </c>
      <c r="EV6137" s="9" t="str">
        <f t="shared" si="1"/>
        <v>Scotland</v>
      </c>
      <c r="EW6137" s="9"/>
      <c r="EX6137" s="9"/>
      <c r="EY6137" s="343"/>
      <c r="EZ6137" s="343" t="s">
        <v>1346</v>
      </c>
      <c r="FA6137" s="343" t="s">
        <v>1347</v>
      </c>
    </row>
    <row r="6138" spans="151:157">
      <c r="EU6138" s="9" t="str">
        <f t="shared" si="0"/>
        <v>España</v>
      </c>
      <c r="EV6138" s="9" t="str">
        <f t="shared" si="1"/>
        <v>Spain</v>
      </c>
      <c r="EW6138" s="9"/>
      <c r="EX6138" s="9"/>
      <c r="EY6138" s="343"/>
      <c r="EZ6138" s="343" t="s">
        <v>1348</v>
      </c>
      <c r="FA6138" s="343" t="s">
        <v>1349</v>
      </c>
    </row>
    <row r="6139" spans="151:157">
      <c r="EU6139" s="9" t="str">
        <f t="shared" si="0"/>
        <v>Estados Unidos</v>
      </c>
      <c r="EV6139" s="9" t="str">
        <f t="shared" si="1"/>
        <v>United States</v>
      </c>
      <c r="EW6139" s="9"/>
      <c r="EX6139" s="9"/>
      <c r="EY6139" s="343"/>
      <c r="EZ6139" s="343" t="s">
        <v>752</v>
      </c>
      <c r="FA6139" s="343" t="s">
        <v>1</v>
      </c>
    </row>
    <row r="6140" spans="151:157">
      <c r="EU6140" s="9" t="str">
        <f t="shared" si="0"/>
        <v>Francia</v>
      </c>
      <c r="EV6140" s="9" t="str">
        <f t="shared" si="1"/>
        <v>France</v>
      </c>
      <c r="EW6140" s="9"/>
      <c r="EX6140" s="9"/>
      <c r="EY6140" s="343"/>
      <c r="EZ6140" s="343" t="s">
        <v>1350</v>
      </c>
      <c r="FA6140" s="343" t="s">
        <v>1351</v>
      </c>
    </row>
    <row r="6141" spans="151:157">
      <c r="EU6141" s="9" t="str">
        <f t="shared" si="0"/>
        <v>Ghana</v>
      </c>
      <c r="EV6141" s="9" t="str">
        <f t="shared" si="1"/>
        <v>Ghana</v>
      </c>
      <c r="EW6141" s="9"/>
      <c r="EX6141" s="9"/>
      <c r="EY6141" s="343"/>
      <c r="EZ6141" s="343" t="s">
        <v>1352</v>
      </c>
      <c r="FA6141" s="343" t="s">
        <v>1352</v>
      </c>
    </row>
    <row r="6142" spans="151:157">
      <c r="EU6142" s="9" t="str">
        <f t="shared" si="0"/>
        <v>Haití</v>
      </c>
      <c r="EV6142" s="9" t="str">
        <f t="shared" si="1"/>
        <v>Haiti</v>
      </c>
      <c r="EW6142" s="9"/>
      <c r="EX6142" s="9"/>
      <c r="EY6142" s="343"/>
      <c r="EZ6142" s="343" t="s">
        <v>1353</v>
      </c>
      <c r="FA6142" s="343" t="s">
        <v>1354</v>
      </c>
    </row>
    <row r="6143" spans="151:157">
      <c r="EU6143" s="9" t="str">
        <f t="shared" si="0"/>
        <v>Inglaterra</v>
      </c>
      <c r="EV6143" s="9" t="str">
        <f t="shared" si="1"/>
        <v>England</v>
      </c>
      <c r="EW6143" s="9"/>
      <c r="EX6143" s="9"/>
      <c r="EY6143" s="343"/>
      <c r="EZ6143" s="343" t="s">
        <v>1355</v>
      </c>
      <c r="FA6143" s="343" t="s">
        <v>1356</v>
      </c>
    </row>
    <row r="6144" spans="151:157">
      <c r="EU6144" s="9" t="str">
        <f t="shared" si="0"/>
        <v>Irán</v>
      </c>
      <c r="EV6144" s="9" t="str">
        <f t="shared" si="1"/>
        <v>Iran</v>
      </c>
      <c r="EW6144" s="9"/>
      <c r="EX6144" s="9"/>
      <c r="EY6144" s="343"/>
      <c r="EZ6144" s="343" t="str">
        <f>N87</f>
        <v>Irán</v>
      </c>
      <c r="FA6144" s="343" t="str">
        <f>O87</f>
        <v>Iran</v>
      </c>
    </row>
    <row r="6145" spans="151:157">
      <c r="EU6145" s="9" t="str">
        <f t="shared" si="0"/>
        <v>Japón</v>
      </c>
      <c r="EV6145" s="9" t="str">
        <f t="shared" si="1"/>
        <v>Japan</v>
      </c>
      <c r="EW6145" s="9"/>
      <c r="EX6145" s="9"/>
      <c r="EY6145" s="343"/>
      <c r="EZ6145" s="343" t="s">
        <v>1357</v>
      </c>
      <c r="FA6145" s="343" t="s">
        <v>1358</v>
      </c>
    </row>
    <row r="6146" spans="151:157">
      <c r="EU6146" s="9" t="str">
        <f t="shared" si="0"/>
        <v>Jordania</v>
      </c>
      <c r="EV6146" s="9" t="str">
        <f t="shared" si="1"/>
        <v>Jordan</v>
      </c>
      <c r="EW6146" s="9"/>
      <c r="EX6146" s="9"/>
      <c r="EY6146" s="343"/>
      <c r="EZ6146" s="343" t="s">
        <v>1359</v>
      </c>
      <c r="FA6146" s="343" t="s">
        <v>1360</v>
      </c>
    </row>
    <row r="6147" spans="151:157">
      <c r="EU6147" s="9" t="str">
        <f t="shared" si="0"/>
        <v>Marruecos</v>
      </c>
      <c r="EV6147" s="9" t="str">
        <f t="shared" si="1"/>
        <v>Morocco</v>
      </c>
      <c r="EW6147" s="9"/>
      <c r="EX6147" s="9"/>
      <c r="EY6147" s="343"/>
      <c r="EZ6147" s="343" t="s">
        <v>1361</v>
      </c>
      <c r="FA6147" s="343" t="s">
        <v>1362</v>
      </c>
    </row>
    <row r="6148" spans="151:157">
      <c r="EU6148" s="9" t="str">
        <f t="shared" si="0"/>
        <v>México</v>
      </c>
      <c r="EV6148" s="9" t="str">
        <f t="shared" si="1"/>
        <v>Mexico</v>
      </c>
      <c r="EW6148" s="9"/>
      <c r="EX6148" s="9"/>
      <c r="EY6148" s="343"/>
      <c r="EZ6148" s="343" t="s">
        <v>1363</v>
      </c>
      <c r="FA6148" s="343" t="s">
        <v>1364</v>
      </c>
    </row>
    <row r="6149" spans="151:157">
      <c r="EU6149" s="9" t="str">
        <f t="shared" si="0"/>
        <v>Noruega</v>
      </c>
      <c r="EV6149" s="9" t="str">
        <f t="shared" si="1"/>
        <v>Norway</v>
      </c>
      <c r="EW6149" s="9"/>
      <c r="EX6149" s="9"/>
      <c r="EY6149" s="343"/>
      <c r="EZ6149" s="343" t="s">
        <v>1365</v>
      </c>
      <c r="FA6149" s="343" t="s">
        <v>1366</v>
      </c>
    </row>
    <row r="6150" spans="151:157">
      <c r="EU6150" s="9" t="str">
        <f t="shared" si="0"/>
        <v>Nueva Zelanda</v>
      </c>
      <c r="EV6150" s="9" t="str">
        <f t="shared" si="1"/>
        <v>New Zealand</v>
      </c>
      <c r="EW6150" s="9"/>
      <c r="EX6150" s="9"/>
      <c r="EY6150" s="343"/>
      <c r="EZ6150" s="343" t="s">
        <v>1367</v>
      </c>
      <c r="FA6150" s="343" t="s">
        <v>1368</v>
      </c>
    </row>
    <row r="6151" spans="151:157">
      <c r="EU6151" s="9" t="str">
        <f t="shared" si="0"/>
        <v>Países Bajos</v>
      </c>
      <c r="EV6151" s="9" t="str">
        <f t="shared" si="1"/>
        <v>Netherlands</v>
      </c>
      <c r="EW6151" s="9"/>
      <c r="EX6151" s="9"/>
      <c r="EY6151" s="343"/>
      <c r="EZ6151" s="343" t="s">
        <v>1369</v>
      </c>
      <c r="FA6151" s="343" t="s">
        <v>1370</v>
      </c>
    </row>
    <row r="6152" spans="151:157">
      <c r="EU6152" s="9" t="str">
        <f t="shared" si="0"/>
        <v>Panamá</v>
      </c>
      <c r="EV6152" s="9" t="str">
        <f t="shared" si="1"/>
        <v>Panama</v>
      </c>
      <c r="EW6152" s="9"/>
      <c r="EX6152" s="9"/>
      <c r="EY6152" s="343"/>
      <c r="EZ6152" s="343" t="s">
        <v>1371</v>
      </c>
      <c r="FA6152" s="343" t="s">
        <v>1372</v>
      </c>
    </row>
    <row r="6153" spans="151:157">
      <c r="EU6153" s="9" t="str">
        <f t="shared" si="0"/>
        <v>Paraguay</v>
      </c>
      <c r="EV6153" s="9" t="str">
        <f t="shared" si="1"/>
        <v>Paraguay</v>
      </c>
      <c r="EW6153" s="9"/>
      <c r="EX6153" s="9"/>
      <c r="EY6153" s="343"/>
      <c r="EZ6153" s="343" t="s">
        <v>1373</v>
      </c>
      <c r="FA6153" s="343" t="s">
        <v>1373</v>
      </c>
    </row>
    <row r="6154" spans="151:157">
      <c r="EU6154" s="9" t="str">
        <f t="shared" si="0"/>
        <v>Portugal</v>
      </c>
      <c r="EV6154" s="9" t="str">
        <f t="shared" si="1"/>
        <v>Portugal</v>
      </c>
      <c r="EW6154" s="9"/>
      <c r="EX6154" s="9"/>
      <c r="EY6154" s="343"/>
      <c r="EZ6154" s="343" t="s">
        <v>1374</v>
      </c>
      <c r="FA6154" s="343" t="s">
        <v>1374</v>
      </c>
    </row>
    <row r="6155" spans="151:157">
      <c r="EU6155" s="9" t="str">
        <f t="shared" si="0"/>
        <v>Senegal</v>
      </c>
      <c r="EV6155" s="9" t="str">
        <f t="shared" si="1"/>
        <v>Senegal</v>
      </c>
      <c r="EW6155" s="9"/>
      <c r="EX6155" s="9"/>
      <c r="EY6155" s="343"/>
      <c r="EZ6155" s="343" t="s">
        <v>1375</v>
      </c>
      <c r="FA6155" s="343" t="s">
        <v>1375</v>
      </c>
    </row>
    <row r="6156" spans="151:157">
      <c r="EU6156" s="9" t="str">
        <f t="shared" si="0"/>
        <v>Sudáfrica</v>
      </c>
      <c r="EV6156" s="9" t="str">
        <f t="shared" si="1"/>
        <v>South Africa</v>
      </c>
      <c r="EW6156" s="9"/>
      <c r="EX6156" s="9"/>
      <c r="EY6156" s="343"/>
      <c r="EZ6156" s="343" t="s">
        <v>1376</v>
      </c>
      <c r="FA6156" s="343" t="s">
        <v>1377</v>
      </c>
    </row>
    <row r="6157" spans="151:157">
      <c r="EU6157" s="9" t="str">
        <f t="shared" si="0"/>
        <v>Suiza</v>
      </c>
      <c r="EV6157" s="9" t="str">
        <f t="shared" si="1"/>
        <v>Switzerland</v>
      </c>
      <c r="EW6157" s="9"/>
      <c r="EX6157" s="9"/>
      <c r="EY6157" s="343"/>
      <c r="EZ6157" s="343" t="s">
        <v>1378</v>
      </c>
      <c r="FA6157" s="343" t="s">
        <v>1379</v>
      </c>
    </row>
    <row r="6158" spans="151:157">
      <c r="EU6158" s="9" t="str">
        <f t="shared" si="0"/>
        <v>Túnez</v>
      </c>
      <c r="EV6158" s="9" t="str">
        <f t="shared" si="1"/>
        <v>Tunisia</v>
      </c>
      <c r="EW6158" s="9"/>
      <c r="EX6158" s="9"/>
      <c r="EY6158" s="343"/>
      <c r="EZ6158" s="343" t="s">
        <v>1380</v>
      </c>
      <c r="FA6158" s="343" t="s">
        <v>1381</v>
      </c>
    </row>
    <row r="6159" spans="151:157">
      <c r="EU6159" s="9" t="str">
        <f t="shared" si="0"/>
        <v>Uruguay</v>
      </c>
      <c r="EV6159" s="9" t="str">
        <f t="shared" si="1"/>
        <v>Uruguay</v>
      </c>
      <c r="EW6159" s="9"/>
      <c r="EX6159" s="9"/>
      <c r="EY6159" s="343"/>
      <c r="EZ6159" s="343" t="s">
        <v>1382</v>
      </c>
      <c r="FA6159" s="343" t="s">
        <v>1382</v>
      </c>
    </row>
    <row r="6160" spans="151:157">
      <c r="EU6160" s="9" t="str">
        <f t="shared" si="0"/>
        <v>Uzbekistán</v>
      </c>
      <c r="EV6160" s="9" t="str">
        <f t="shared" si="1"/>
        <v>Uzbekistan</v>
      </c>
      <c r="EW6160" s="9"/>
      <c r="EX6160" s="9"/>
      <c r="EY6160" s="343"/>
      <c r="EZ6160" s="343" t="s">
        <v>1383</v>
      </c>
      <c r="FA6160" s="343"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44" customWidth="1"/>
    <col min="15" max="16" width="20.42578125" style="345" customWidth="1"/>
    <col min="17" max="16384" width="20.42578125" style="345"/>
  </cols>
  <sheetData>
    <row r="1" spans="1:18 8826:8826" ht="15" customHeight="1">
      <c r="A1" s="359" t="s">
        <v>1397</v>
      </c>
      <c r="B1" s="359" t="s">
        <v>19</v>
      </c>
      <c r="C1" s="359" t="s">
        <v>321</v>
      </c>
      <c r="D1" s="359" t="s">
        <v>1398</v>
      </c>
      <c r="F1" s="5" t="s">
        <v>1399</v>
      </c>
      <c r="H1" s="359"/>
      <c r="I1" s="359"/>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45"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60" t="s">
        <v>1407</v>
      </c>
      <c r="M7" s="360"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46"/>
      <c r="Q15" s="346"/>
      <c r="R15" s="346"/>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45" t="s">
        <v>1402</v>
      </c>
      <c r="MAL28" s="345"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61" t="s">
        <v>1443</v>
      </c>
      <c r="M44" s="361" t="e">
        <v>#VALUE!</v>
      </c>
    </row>
    <row r="45" spans="1:13" ht="15" customHeight="1">
      <c r="A45" s="5">
        <v>44</v>
      </c>
      <c r="B45" s="5" t="str">
        <f>+INDEX(Idiomas!$D$202:$D$249,MATCH(T_Equipos[[#This Row],[Num]],Idiomas!$C$202:$C$249,0))</f>
        <v>Colombia</v>
      </c>
      <c r="C45" s="5" t="s">
        <v>133</v>
      </c>
      <c r="D45" s="5">
        <v>4</v>
      </c>
      <c r="K45" s="5" t="str">
        <f>Idiomas!D245</f>
        <v>Iraq</v>
      </c>
      <c r="L45" s="361" t="s">
        <v>1444</v>
      </c>
      <c r="M45" s="361" t="e">
        <v>#VALUE!</v>
      </c>
    </row>
    <row r="46" spans="1:13" ht="15" customHeight="1">
      <c r="A46" s="5">
        <v>45</v>
      </c>
      <c r="B46" s="5" t="str">
        <f>+INDEX(Idiomas!$D$202:$D$249,MATCH(T_Equipos[[#This Row],[Num]],Idiomas!$C$202:$C$249,0))</f>
        <v>England</v>
      </c>
      <c r="C46" s="5" t="s">
        <v>134</v>
      </c>
      <c r="D46" s="5">
        <v>1</v>
      </c>
      <c r="K46" s="5" t="str">
        <f>Idiomas!D246</f>
        <v>Bosnia and Herzegovina</v>
      </c>
      <c r="L46" s="362" t="s">
        <v>1445</v>
      </c>
      <c r="M46" s="362" t="e">
        <v>#VALUE!</v>
      </c>
    </row>
    <row r="47" spans="1:13" ht="15" customHeight="1">
      <c r="A47" s="5">
        <v>46</v>
      </c>
      <c r="B47" s="5" t="str">
        <f>+INDEX(Idiomas!$D$202:$D$249,MATCH(T_Equipos[[#This Row],[Num]],Idiomas!$C$202:$C$249,0))</f>
        <v>Croatia</v>
      </c>
      <c r="C47" s="5" t="s">
        <v>134</v>
      </c>
      <c r="D47" s="5">
        <v>2</v>
      </c>
      <c r="K47" s="5" t="str">
        <f>Idiomas!D247</f>
        <v>Sweden</v>
      </c>
      <c r="L47" s="361" t="s">
        <v>1446</v>
      </c>
      <c r="M47" s="361" t="e">
        <v>#VALUE!</v>
      </c>
    </row>
    <row r="48" spans="1:13" ht="15" customHeight="1">
      <c r="A48" s="5">
        <v>47</v>
      </c>
      <c r="B48" s="5" t="str">
        <f>+INDEX(Idiomas!$D$202:$D$249,MATCH(T_Equipos[[#This Row],[Num]],Idiomas!$C$202:$C$249,0))</f>
        <v>Ghana</v>
      </c>
      <c r="C48" s="5" t="s">
        <v>134</v>
      </c>
      <c r="D48" s="5">
        <v>3</v>
      </c>
      <c r="K48" s="5" t="str">
        <f>Idiomas!D248</f>
        <v>Turkey</v>
      </c>
      <c r="L48" s="361" t="s">
        <v>1447</v>
      </c>
      <c r="M48" s="361" t="e">
        <v>#VALUE!</v>
      </c>
    </row>
    <row r="49" spans="1:13" ht="15" customHeight="1">
      <c r="A49" s="5">
        <v>48</v>
      </c>
      <c r="B49" s="5" t="str">
        <f>+INDEX(Idiomas!$D$202:$D$249,MATCH(T_Equipos[[#This Row],[Num]],Idiomas!$C$202:$C$249,0))</f>
        <v>Panama</v>
      </c>
      <c r="C49" s="5" t="s">
        <v>134</v>
      </c>
      <c r="D49" s="5">
        <v>4</v>
      </c>
      <c r="K49" s="5" t="str">
        <f>Idiomas!D249</f>
        <v>Czech Republic</v>
      </c>
      <c r="L49" s="361" t="s">
        <v>1448</v>
      </c>
      <c r="M49" s="361"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63">
        <f>+INDEX($S$3:$S$86,MATCH($L$2,$Q$3:$Q$86,0))</f>
        <v>0.16666666666666666</v>
      </c>
      <c r="P2" s="358" t="s">
        <v>1397</v>
      </c>
      <c r="Q2" s="358" t="s">
        <v>1450</v>
      </c>
      <c r="R2" s="358" t="s">
        <v>1455</v>
      </c>
      <c r="S2" s="358" t="s">
        <v>1456</v>
      </c>
      <c r="T2" s="358" t="s">
        <v>1457</v>
      </c>
      <c r="U2" s="358" t="s">
        <v>1458</v>
      </c>
      <c r="V2" s="358" t="s">
        <v>1459</v>
      </c>
      <c r="W2" s="364" t="s">
        <v>1460</v>
      </c>
      <c r="X2" s="358" t="s">
        <v>1457</v>
      </c>
      <c r="AA2" s="358" t="s">
        <v>1397</v>
      </c>
      <c r="AB2" s="358" t="s">
        <v>1450</v>
      </c>
      <c r="AC2" s="358" t="s">
        <v>1455</v>
      </c>
      <c r="AD2" s="358" t="s">
        <v>1456</v>
      </c>
      <c r="AE2" s="358" t="s">
        <v>1457</v>
      </c>
      <c r="AF2" s="358" t="s">
        <v>1458</v>
      </c>
      <c r="AG2" s="358" t="s">
        <v>1459</v>
      </c>
      <c r="AH2" s="364" t="s">
        <v>1460</v>
      </c>
      <c r="AI2" s="358"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63">
        <f t="shared" si="1"/>
        <v>4.1666666666666664E-2</v>
      </c>
      <c r="T3" s="8">
        <f t="shared" si="1"/>
        <v>0</v>
      </c>
      <c r="U3" s="8">
        <f t="shared" si="1"/>
        <v>5</v>
      </c>
      <c r="V3" s="363">
        <f t="shared" si="1"/>
        <v>0.20833333333333334</v>
      </c>
      <c r="W3" s="8">
        <f t="shared" si="1"/>
        <v>1</v>
      </c>
      <c r="X3" s="8">
        <f t="shared" ref="X3:X50" si="2">IFERROR(IF(Q3=$L$2,1,0),0)</f>
        <v>0</v>
      </c>
      <c r="AA3" s="8">
        <v>1</v>
      </c>
      <c r="AB3" s="8" t="str">
        <f>Idiomas!D202</f>
        <v>Germany</v>
      </c>
      <c r="AC3" s="365">
        <v>2</v>
      </c>
      <c r="AD3" s="363">
        <f t="shared" ref="AD3:AD34" si="3">ABS(AC3/24)</f>
        <v>8.3333333333333329E-2</v>
      </c>
      <c r="AE3" s="8">
        <v>0</v>
      </c>
      <c r="AF3" s="8">
        <f t="shared" ref="AF3:AF34" si="4">AC3-$M$2</f>
        <v>6</v>
      </c>
      <c r="AG3" s="363">
        <f t="shared" ref="AG3:AG34" si="5">ABS(AF3/24)</f>
        <v>0.25</v>
      </c>
      <c r="AH3" s="8">
        <f t="shared" ref="AH3:AH34" si="6">IF(AC3&gt;$M$2,1,IF(AC3=$M$2,0,-1))</f>
        <v>1</v>
      </c>
      <c r="AI3" s="8">
        <f t="shared" ref="AI3:AI50" si="7">+COUNTIF($AB$3:$AB$50,"&lt;="&amp;AB3)</f>
        <v>19</v>
      </c>
    </row>
    <row r="4" spans="1:35" ht="16.149999999999999" customHeight="1">
      <c r="A4" s="347">
        <v>46184.625</v>
      </c>
      <c r="C4" s="347">
        <f t="shared" ref="C4:C9" si="8">A4+INDEX($V$3:$V$86,MATCH($C$3,$P$3:$P$86,0))*INDEX($W$3:$W$86,MATCH($C$3,$P$3:$P$86,0))</f>
        <v>46184.625</v>
      </c>
      <c r="D4" s="347"/>
      <c r="E4" s="347"/>
      <c r="P4" s="8">
        <v>2</v>
      </c>
      <c r="Q4" s="8" t="str">
        <f t="shared" si="0"/>
        <v>Argentina</v>
      </c>
      <c r="R4" s="8">
        <f t="shared" si="1"/>
        <v>-3</v>
      </c>
      <c r="S4" s="363">
        <f t="shared" si="1"/>
        <v>0.125</v>
      </c>
      <c r="T4" s="8">
        <f t="shared" si="1"/>
        <v>0</v>
      </c>
      <c r="U4" s="8">
        <f t="shared" si="1"/>
        <v>1</v>
      </c>
      <c r="V4" s="363">
        <f t="shared" si="1"/>
        <v>4.1666666666666664E-2</v>
      </c>
      <c r="W4" s="8">
        <f t="shared" si="1"/>
        <v>1</v>
      </c>
      <c r="X4" s="8">
        <f t="shared" si="2"/>
        <v>0</v>
      </c>
      <c r="AA4" s="8">
        <v>2</v>
      </c>
      <c r="AB4" s="8" t="str">
        <f>Idiomas!D203</f>
        <v>Saudi Arabia</v>
      </c>
      <c r="AC4" s="365">
        <v>3</v>
      </c>
      <c r="AD4" s="363">
        <f t="shared" si="3"/>
        <v>0.125</v>
      </c>
      <c r="AE4" s="8">
        <v>0</v>
      </c>
      <c r="AF4" s="8">
        <f t="shared" si="4"/>
        <v>7</v>
      </c>
      <c r="AG4" s="363">
        <f t="shared" si="5"/>
        <v>0.29166666666666669</v>
      </c>
      <c r="AH4" s="8">
        <f t="shared" si="6"/>
        <v>1</v>
      </c>
      <c r="AI4" s="8">
        <f t="shared" si="7"/>
        <v>36</v>
      </c>
    </row>
    <row r="5" spans="1:35" ht="16.149999999999999" customHeight="1">
      <c r="A5" s="347">
        <v>46184.916666666657</v>
      </c>
      <c r="C5" s="347">
        <f t="shared" si="8"/>
        <v>46184.916666666657</v>
      </c>
      <c r="D5" s="347"/>
      <c r="E5" s="347"/>
      <c r="P5" s="8">
        <v>3</v>
      </c>
      <c r="Q5" s="8" t="str">
        <f t="shared" si="0"/>
        <v>Australia</v>
      </c>
      <c r="R5" s="8">
        <f t="shared" si="1"/>
        <v>10.5</v>
      </c>
      <c r="S5" s="363">
        <f t="shared" si="1"/>
        <v>0.4375</v>
      </c>
      <c r="T5" s="8">
        <f t="shared" si="1"/>
        <v>0</v>
      </c>
      <c r="U5" s="8">
        <f t="shared" si="1"/>
        <v>14.5</v>
      </c>
      <c r="V5" s="363">
        <f t="shared" si="1"/>
        <v>0.60416666666666663</v>
      </c>
      <c r="W5" s="8">
        <f t="shared" si="1"/>
        <v>1</v>
      </c>
      <c r="X5" s="8">
        <f t="shared" si="2"/>
        <v>0</v>
      </c>
      <c r="AA5" s="8">
        <v>3</v>
      </c>
      <c r="AB5" s="8" t="str">
        <f>Idiomas!D204</f>
        <v>Algeria</v>
      </c>
      <c r="AC5" s="365">
        <v>1</v>
      </c>
      <c r="AD5" s="363">
        <f t="shared" si="3"/>
        <v>4.1666666666666664E-2</v>
      </c>
      <c r="AE5" s="8">
        <v>0</v>
      </c>
      <c r="AF5" s="8">
        <f t="shared" si="4"/>
        <v>5</v>
      </c>
      <c r="AG5" s="363">
        <f t="shared" si="5"/>
        <v>0.20833333333333334</v>
      </c>
      <c r="AH5" s="8">
        <f t="shared" si="6"/>
        <v>1</v>
      </c>
      <c r="AI5" s="8">
        <f t="shared" si="7"/>
        <v>1</v>
      </c>
    </row>
    <row r="6" spans="1:35" ht="16.149999999999999" customHeight="1">
      <c r="A6" s="347">
        <v>46191.5</v>
      </c>
      <c r="C6" s="347">
        <f t="shared" si="8"/>
        <v>46191.5</v>
      </c>
      <c r="D6" s="347"/>
      <c r="E6" s="347"/>
      <c r="P6" s="8">
        <v>4</v>
      </c>
      <c r="Q6" s="8" t="str">
        <f t="shared" si="0"/>
        <v>Austria</v>
      </c>
      <c r="R6" s="8">
        <f t="shared" si="1"/>
        <v>2</v>
      </c>
      <c r="S6" s="363">
        <f t="shared" si="1"/>
        <v>8.3333333333333329E-2</v>
      </c>
      <c r="T6" s="8">
        <f t="shared" si="1"/>
        <v>0</v>
      </c>
      <c r="U6" s="8">
        <f t="shared" si="1"/>
        <v>6</v>
      </c>
      <c r="V6" s="363">
        <f t="shared" si="1"/>
        <v>0.25</v>
      </c>
      <c r="W6" s="8">
        <f t="shared" si="1"/>
        <v>1</v>
      </c>
      <c r="X6" s="8">
        <f t="shared" si="2"/>
        <v>0</v>
      </c>
      <c r="AA6" s="8">
        <v>4</v>
      </c>
      <c r="AB6" s="8" t="str">
        <f>Idiomas!D205</f>
        <v>Argentina</v>
      </c>
      <c r="AC6" s="365">
        <v>-3</v>
      </c>
      <c r="AD6" s="363">
        <f t="shared" si="3"/>
        <v>0.125</v>
      </c>
      <c r="AE6" s="8">
        <v>0</v>
      </c>
      <c r="AF6" s="8">
        <f t="shared" si="4"/>
        <v>1</v>
      </c>
      <c r="AG6" s="363">
        <f t="shared" si="5"/>
        <v>4.1666666666666664E-2</v>
      </c>
      <c r="AH6" s="8">
        <f t="shared" si="6"/>
        <v>1</v>
      </c>
      <c r="AI6" s="8">
        <f t="shared" si="7"/>
        <v>2</v>
      </c>
    </row>
    <row r="7" spans="1:35" ht="16.149999999999999" customHeight="1">
      <c r="A7" s="347">
        <v>46191.875</v>
      </c>
      <c r="C7" s="347">
        <f t="shared" si="8"/>
        <v>46191.875</v>
      </c>
      <c r="D7" s="347"/>
      <c r="E7" s="347"/>
      <c r="P7" s="8">
        <v>5</v>
      </c>
      <c r="Q7" s="8" t="str">
        <f t="shared" si="0"/>
        <v>Belgium</v>
      </c>
      <c r="R7" s="8">
        <f t="shared" si="1"/>
        <v>2</v>
      </c>
      <c r="S7" s="363">
        <f t="shared" si="1"/>
        <v>8.3333333333333329E-2</v>
      </c>
      <c r="T7" s="8">
        <f t="shared" si="1"/>
        <v>0</v>
      </c>
      <c r="U7" s="8">
        <f t="shared" si="1"/>
        <v>6</v>
      </c>
      <c r="V7" s="363">
        <f t="shared" si="1"/>
        <v>0.25</v>
      </c>
      <c r="W7" s="8">
        <f t="shared" si="1"/>
        <v>1</v>
      </c>
      <c r="X7" s="8">
        <f t="shared" si="2"/>
        <v>0</v>
      </c>
      <c r="AA7" s="8">
        <v>5</v>
      </c>
      <c r="AB7" s="8" t="str">
        <f>Idiomas!D206</f>
        <v>Australia</v>
      </c>
      <c r="AC7" s="365">
        <v>10.5</v>
      </c>
      <c r="AD7" s="363">
        <f t="shared" si="3"/>
        <v>0.4375</v>
      </c>
      <c r="AE7" s="8">
        <v>0</v>
      </c>
      <c r="AF7" s="8">
        <f t="shared" si="4"/>
        <v>14.5</v>
      </c>
      <c r="AG7" s="363">
        <f t="shared" si="5"/>
        <v>0.60416666666666663</v>
      </c>
      <c r="AH7" s="8">
        <f t="shared" si="6"/>
        <v>1</v>
      </c>
      <c r="AI7" s="8">
        <f t="shared" si="7"/>
        <v>3</v>
      </c>
    </row>
    <row r="8" spans="1:35" ht="16.149999999999999" customHeight="1">
      <c r="A8" s="347">
        <v>46197.875</v>
      </c>
      <c r="C8" s="347">
        <f t="shared" si="8"/>
        <v>46197.875</v>
      </c>
      <c r="D8" s="347"/>
      <c r="E8" s="347"/>
      <c r="P8" s="8">
        <v>6</v>
      </c>
      <c r="Q8" s="8" t="str">
        <f t="shared" si="0"/>
        <v>Bosnia and Herzegovina</v>
      </c>
      <c r="R8" s="8">
        <f t="shared" si="1"/>
        <v>2</v>
      </c>
      <c r="S8" s="363">
        <f t="shared" si="1"/>
        <v>8.3333333333333329E-2</v>
      </c>
      <c r="T8" s="8">
        <f t="shared" si="1"/>
        <v>0</v>
      </c>
      <c r="U8" s="8">
        <f t="shared" si="1"/>
        <v>6</v>
      </c>
      <c r="V8" s="363">
        <f t="shared" si="1"/>
        <v>0.25</v>
      </c>
      <c r="W8" s="8">
        <f t="shared" si="1"/>
        <v>1</v>
      </c>
      <c r="X8" s="8">
        <f t="shared" si="2"/>
        <v>0</v>
      </c>
      <c r="AA8" s="8">
        <v>6</v>
      </c>
      <c r="AB8" s="8" t="str">
        <f>Idiomas!D207</f>
        <v>Austria</v>
      </c>
      <c r="AC8" s="365">
        <v>2</v>
      </c>
      <c r="AD8" s="363">
        <f t="shared" si="3"/>
        <v>8.3333333333333329E-2</v>
      </c>
      <c r="AE8" s="8">
        <v>0</v>
      </c>
      <c r="AF8" s="8">
        <f t="shared" si="4"/>
        <v>6</v>
      </c>
      <c r="AG8" s="363">
        <f t="shared" si="5"/>
        <v>0.25</v>
      </c>
      <c r="AH8" s="8">
        <f t="shared" si="6"/>
        <v>1</v>
      </c>
      <c r="AI8" s="8">
        <f t="shared" si="7"/>
        <v>4</v>
      </c>
    </row>
    <row r="9" spans="1:35" ht="16.149999999999999" customHeight="1">
      <c r="A9" s="347">
        <v>46197.875</v>
      </c>
      <c r="C9" s="347">
        <f t="shared" si="8"/>
        <v>46197.875</v>
      </c>
      <c r="D9" s="347"/>
      <c r="E9" s="347"/>
      <c r="P9" s="8">
        <v>7</v>
      </c>
      <c r="Q9" s="8" t="str">
        <f t="shared" si="0"/>
        <v>Brazil</v>
      </c>
      <c r="R9" s="8">
        <f t="shared" si="1"/>
        <v>-3</v>
      </c>
      <c r="S9" s="363">
        <f t="shared" si="1"/>
        <v>0.125</v>
      </c>
      <c r="T9" s="8">
        <f t="shared" si="1"/>
        <v>0</v>
      </c>
      <c r="U9" s="8">
        <f t="shared" si="1"/>
        <v>1</v>
      </c>
      <c r="V9" s="363">
        <f t="shared" si="1"/>
        <v>4.1666666666666664E-2</v>
      </c>
      <c r="W9" s="8">
        <f t="shared" si="1"/>
        <v>1</v>
      </c>
      <c r="X9" s="8">
        <f t="shared" si="2"/>
        <v>0</v>
      </c>
      <c r="AA9" s="8">
        <v>7</v>
      </c>
      <c r="AB9" s="8" t="str">
        <f>Idiomas!D208</f>
        <v>Belgium</v>
      </c>
      <c r="AC9" s="365">
        <v>2</v>
      </c>
      <c r="AD9" s="363">
        <f t="shared" si="3"/>
        <v>8.3333333333333329E-2</v>
      </c>
      <c r="AE9" s="8">
        <v>0</v>
      </c>
      <c r="AF9" s="8">
        <f t="shared" si="4"/>
        <v>6</v>
      </c>
      <c r="AG9" s="363">
        <f t="shared" si="5"/>
        <v>0.25</v>
      </c>
      <c r="AH9" s="8">
        <f t="shared" si="6"/>
        <v>1</v>
      </c>
      <c r="AI9" s="8">
        <f t="shared" si="7"/>
        <v>5</v>
      </c>
    </row>
    <row r="10" spans="1:35" ht="16.149999999999999" customHeight="1">
      <c r="C10" s="347"/>
      <c r="P10" s="8">
        <v>8</v>
      </c>
      <c r="Q10" s="8" t="str">
        <f t="shared" si="0"/>
        <v>Canada</v>
      </c>
      <c r="R10" s="8">
        <f t="shared" si="1"/>
        <v>-4</v>
      </c>
      <c r="S10" s="363">
        <f t="shared" si="1"/>
        <v>0.16666666666666666</v>
      </c>
      <c r="T10" s="8">
        <f t="shared" si="1"/>
        <v>0</v>
      </c>
      <c r="U10" s="8">
        <f t="shared" si="1"/>
        <v>0</v>
      </c>
      <c r="V10" s="363">
        <f t="shared" si="1"/>
        <v>0</v>
      </c>
      <c r="W10" s="8">
        <f t="shared" si="1"/>
        <v>0</v>
      </c>
      <c r="X10" s="8">
        <f t="shared" si="2"/>
        <v>0</v>
      </c>
      <c r="AA10" s="8">
        <v>8</v>
      </c>
      <c r="AB10" s="8" t="str">
        <f>Idiomas!D209</f>
        <v>Brazil</v>
      </c>
      <c r="AC10" s="365">
        <v>-3</v>
      </c>
      <c r="AD10" s="363">
        <f t="shared" si="3"/>
        <v>0.125</v>
      </c>
      <c r="AE10" s="8">
        <v>0</v>
      </c>
      <c r="AF10" s="8">
        <f t="shared" si="4"/>
        <v>1</v>
      </c>
      <c r="AG10" s="363">
        <f t="shared" si="5"/>
        <v>4.1666666666666664E-2</v>
      </c>
      <c r="AH10" s="8">
        <f t="shared" si="6"/>
        <v>1</v>
      </c>
      <c r="AI10" s="8">
        <f t="shared" si="7"/>
        <v>7</v>
      </c>
    </row>
    <row r="11" spans="1:35" ht="16.149999999999999" customHeight="1">
      <c r="A11" s="5" t="s">
        <v>1463</v>
      </c>
      <c r="C11" s="347"/>
      <c r="P11" s="8">
        <v>9</v>
      </c>
      <c r="Q11" s="8" t="str">
        <f t="shared" si="0"/>
        <v>Cape Verde</v>
      </c>
      <c r="R11" s="8">
        <f t="shared" si="1"/>
        <v>-1</v>
      </c>
      <c r="S11" s="363">
        <f t="shared" si="1"/>
        <v>4.1666666666666664E-2</v>
      </c>
      <c r="T11" s="8">
        <f t="shared" si="1"/>
        <v>0</v>
      </c>
      <c r="U11" s="8">
        <f t="shared" si="1"/>
        <v>3</v>
      </c>
      <c r="V11" s="363">
        <f t="shared" si="1"/>
        <v>0.125</v>
      </c>
      <c r="W11" s="8">
        <f t="shared" si="1"/>
        <v>1</v>
      </c>
      <c r="X11" s="8">
        <f t="shared" si="2"/>
        <v>0</v>
      </c>
      <c r="AA11" s="8">
        <v>9</v>
      </c>
      <c r="AB11" s="8" t="str">
        <f>Idiomas!D210</f>
        <v>Cape Verde</v>
      </c>
      <c r="AC11" s="365">
        <v>-1</v>
      </c>
      <c r="AD11" s="363">
        <f t="shared" si="3"/>
        <v>4.1666666666666664E-2</v>
      </c>
      <c r="AE11" s="8">
        <v>0</v>
      </c>
      <c r="AF11" s="8">
        <f t="shared" si="4"/>
        <v>3</v>
      </c>
      <c r="AG11" s="363">
        <f t="shared" si="5"/>
        <v>0.125</v>
      </c>
      <c r="AH11" s="8">
        <f t="shared" si="6"/>
        <v>1</v>
      </c>
      <c r="AI11" s="8">
        <f t="shared" si="7"/>
        <v>9</v>
      </c>
    </row>
    <row r="12" spans="1:35" ht="16.149999999999999" customHeight="1">
      <c r="A12" s="347">
        <v>46185.625</v>
      </c>
      <c r="C12" s="347">
        <f t="shared" ref="C12:C17" si="9">A12+INDEX($V$3:$V$86,MATCH($C$3,$P$3:$P$86,0))*INDEX($W$3:$W$86,MATCH($C$3,$P$3:$P$86,0))</f>
        <v>46185.625</v>
      </c>
      <c r="D12" s="347"/>
      <c r="E12" s="347"/>
      <c r="P12" s="8">
        <v>10</v>
      </c>
      <c r="Q12" s="8" t="str">
        <f t="shared" si="0"/>
        <v>Colombia</v>
      </c>
      <c r="R12" s="8">
        <f t="shared" si="1"/>
        <v>-5</v>
      </c>
      <c r="S12" s="363">
        <f t="shared" si="1"/>
        <v>0.20833333333333334</v>
      </c>
      <c r="T12" s="8">
        <f t="shared" si="1"/>
        <v>0</v>
      </c>
      <c r="U12" s="8">
        <f t="shared" si="1"/>
        <v>-1</v>
      </c>
      <c r="V12" s="363">
        <f t="shared" si="1"/>
        <v>4.1666666666666664E-2</v>
      </c>
      <c r="W12" s="8">
        <f t="shared" si="1"/>
        <v>-1</v>
      </c>
      <c r="X12" s="8">
        <f t="shared" si="2"/>
        <v>0</v>
      </c>
      <c r="AA12" s="8">
        <v>10</v>
      </c>
      <c r="AB12" s="8" t="str">
        <f>Idiomas!D211</f>
        <v>Canada</v>
      </c>
      <c r="AC12" s="365">
        <v>-4</v>
      </c>
      <c r="AD12" s="363">
        <f t="shared" si="3"/>
        <v>0.16666666666666666</v>
      </c>
      <c r="AE12" s="8">
        <v>0</v>
      </c>
      <c r="AF12" s="8">
        <f t="shared" si="4"/>
        <v>0</v>
      </c>
      <c r="AG12" s="363">
        <f t="shared" si="5"/>
        <v>0</v>
      </c>
      <c r="AH12" s="8">
        <f t="shared" si="6"/>
        <v>0</v>
      </c>
      <c r="AI12" s="8">
        <f t="shared" si="7"/>
        <v>8</v>
      </c>
    </row>
    <row r="13" spans="1:35" ht="16.149999999999999" customHeight="1">
      <c r="A13" s="347">
        <v>46186.625</v>
      </c>
      <c r="C13" s="347">
        <f t="shared" si="9"/>
        <v>46186.625</v>
      </c>
      <c r="D13" s="347"/>
      <c r="E13" s="347"/>
      <c r="P13" s="8">
        <v>11</v>
      </c>
      <c r="Q13" s="8" t="str">
        <f t="shared" si="0"/>
        <v>Croatia</v>
      </c>
      <c r="R13" s="8">
        <f t="shared" ref="R13:W22" si="10">+INDEX($AC$3:$AH$86,MATCH($Q13,$AB$3:$AB$86,0),MATCH(R$2,$AC$2:$AH$2,0))</f>
        <v>2</v>
      </c>
      <c r="S13" s="363">
        <f t="shared" si="10"/>
        <v>8.3333333333333329E-2</v>
      </c>
      <c r="T13" s="8">
        <f t="shared" si="10"/>
        <v>0</v>
      </c>
      <c r="U13" s="8">
        <f t="shared" si="10"/>
        <v>6</v>
      </c>
      <c r="V13" s="363">
        <f t="shared" si="10"/>
        <v>0.25</v>
      </c>
      <c r="W13" s="8">
        <f t="shared" si="10"/>
        <v>1</v>
      </c>
      <c r="X13" s="8">
        <f t="shared" si="2"/>
        <v>0</v>
      </c>
      <c r="AA13" s="8">
        <v>11</v>
      </c>
      <c r="AB13" s="8" t="str">
        <f>Idiomas!D212</f>
        <v>Qatar</v>
      </c>
      <c r="AC13" s="365">
        <v>3</v>
      </c>
      <c r="AD13" s="363">
        <f t="shared" si="3"/>
        <v>0.125</v>
      </c>
      <c r="AE13" s="8">
        <v>0</v>
      </c>
      <c r="AF13" s="8">
        <f t="shared" si="4"/>
        <v>7</v>
      </c>
      <c r="AG13" s="363">
        <f t="shared" si="5"/>
        <v>0.29166666666666669</v>
      </c>
      <c r="AH13" s="8">
        <f t="shared" si="6"/>
        <v>1</v>
      </c>
      <c r="AI13" s="8">
        <f t="shared" si="7"/>
        <v>35</v>
      </c>
    </row>
    <row r="14" spans="1:35" ht="16.149999999999999" customHeight="1">
      <c r="A14" s="347">
        <v>46191.625</v>
      </c>
      <c r="C14" s="347">
        <f t="shared" si="9"/>
        <v>46191.625</v>
      </c>
      <c r="D14" s="347"/>
      <c r="E14" s="347"/>
      <c r="P14" s="8">
        <v>12</v>
      </c>
      <c r="Q14" s="8" t="str">
        <f t="shared" si="0"/>
        <v>Curaçao</v>
      </c>
      <c r="R14" s="8">
        <f t="shared" si="10"/>
        <v>-4</v>
      </c>
      <c r="S14" s="363">
        <f t="shared" si="10"/>
        <v>0.16666666666666666</v>
      </c>
      <c r="T14" s="8">
        <f t="shared" si="10"/>
        <v>0</v>
      </c>
      <c r="U14" s="8">
        <f t="shared" si="10"/>
        <v>0</v>
      </c>
      <c r="V14" s="363">
        <f t="shared" si="10"/>
        <v>0</v>
      </c>
      <c r="W14" s="8">
        <f t="shared" si="10"/>
        <v>0</v>
      </c>
      <c r="X14" s="8">
        <f t="shared" si="2"/>
        <v>0</v>
      </c>
      <c r="AA14" s="8">
        <v>12</v>
      </c>
      <c r="AB14" s="8" t="str">
        <f>Idiomas!D213</f>
        <v>Colombia</v>
      </c>
      <c r="AC14" s="365">
        <v>-5</v>
      </c>
      <c r="AD14" s="363">
        <f t="shared" si="3"/>
        <v>0.20833333333333334</v>
      </c>
      <c r="AE14" s="8">
        <v>0</v>
      </c>
      <c r="AF14" s="8">
        <f t="shared" si="4"/>
        <v>-1</v>
      </c>
      <c r="AG14" s="363">
        <f t="shared" si="5"/>
        <v>4.1666666666666664E-2</v>
      </c>
      <c r="AH14" s="8">
        <f t="shared" si="6"/>
        <v>-1</v>
      </c>
      <c r="AI14" s="8">
        <f t="shared" si="7"/>
        <v>10</v>
      </c>
    </row>
    <row r="15" spans="1:35" ht="16.149999999999999" customHeight="1">
      <c r="A15" s="347">
        <v>46191.75</v>
      </c>
      <c r="C15" s="347">
        <f t="shared" si="9"/>
        <v>46191.75</v>
      </c>
      <c r="D15" s="347"/>
      <c r="E15" s="347"/>
      <c r="P15" s="8">
        <v>13</v>
      </c>
      <c r="Q15" s="8" t="str">
        <f t="shared" si="0"/>
        <v>Czech Republic</v>
      </c>
      <c r="R15" s="8">
        <f t="shared" si="10"/>
        <v>2</v>
      </c>
      <c r="S15" s="363">
        <f t="shared" si="10"/>
        <v>8.3333333333333329E-2</v>
      </c>
      <c r="T15" s="8">
        <f t="shared" si="10"/>
        <v>0</v>
      </c>
      <c r="U15" s="8">
        <f t="shared" si="10"/>
        <v>6</v>
      </c>
      <c r="V15" s="363">
        <f t="shared" si="10"/>
        <v>0.25</v>
      </c>
      <c r="W15" s="8">
        <f t="shared" si="10"/>
        <v>1</v>
      </c>
      <c r="X15" s="8">
        <f t="shared" si="2"/>
        <v>0</v>
      </c>
      <c r="AA15" s="8">
        <v>13</v>
      </c>
      <c r="AB15" s="8" t="str">
        <f>Idiomas!D214</f>
        <v>South Korea</v>
      </c>
      <c r="AC15" s="365">
        <v>9</v>
      </c>
      <c r="AD15" s="363">
        <f t="shared" si="3"/>
        <v>0.375</v>
      </c>
      <c r="AE15" s="8">
        <v>0</v>
      </c>
      <c r="AF15" s="8">
        <f t="shared" si="4"/>
        <v>13</v>
      </c>
      <c r="AG15" s="363">
        <f t="shared" si="5"/>
        <v>0.54166666666666663</v>
      </c>
      <c r="AH15" s="8">
        <f t="shared" si="6"/>
        <v>1</v>
      </c>
      <c r="AI15" s="8">
        <f t="shared" si="7"/>
        <v>40</v>
      </c>
    </row>
    <row r="16" spans="1:35" ht="16.149999999999999" customHeight="1">
      <c r="A16" s="347">
        <v>46197.625</v>
      </c>
      <c r="C16" s="347">
        <f t="shared" si="9"/>
        <v>46197.625</v>
      </c>
      <c r="D16" s="347"/>
      <c r="E16" s="347"/>
      <c r="P16" s="8">
        <v>14</v>
      </c>
      <c r="Q16" s="8" t="str">
        <f t="shared" si="0"/>
        <v>DR Congo</v>
      </c>
      <c r="R16" s="8">
        <f t="shared" si="10"/>
        <v>1</v>
      </c>
      <c r="S16" s="363">
        <f t="shared" si="10"/>
        <v>4.1666666666666664E-2</v>
      </c>
      <c r="T16" s="8">
        <f t="shared" si="10"/>
        <v>0</v>
      </c>
      <c r="U16" s="8">
        <f t="shared" si="10"/>
        <v>5</v>
      </c>
      <c r="V16" s="363">
        <f t="shared" si="10"/>
        <v>0.20833333333333334</v>
      </c>
      <c r="W16" s="8">
        <f t="shared" si="10"/>
        <v>1</v>
      </c>
      <c r="X16" s="8">
        <f t="shared" si="2"/>
        <v>0</v>
      </c>
      <c r="AA16" s="8">
        <v>14</v>
      </c>
      <c r="AB16" s="8" t="str">
        <f>Idiomas!D215</f>
        <v>Ivory Coast</v>
      </c>
      <c r="AC16" s="365">
        <v>0</v>
      </c>
      <c r="AD16" s="363">
        <f t="shared" si="3"/>
        <v>0</v>
      </c>
      <c r="AE16" s="8">
        <v>0</v>
      </c>
      <c r="AF16" s="8">
        <f t="shared" si="4"/>
        <v>4</v>
      </c>
      <c r="AG16" s="363">
        <f t="shared" si="5"/>
        <v>0.16666666666666666</v>
      </c>
      <c r="AH16" s="8">
        <f t="shared" si="6"/>
        <v>1</v>
      </c>
      <c r="AI16" s="8">
        <f t="shared" si="7"/>
        <v>24</v>
      </c>
    </row>
    <row r="17" spans="1:35" ht="16.149999999999999" customHeight="1">
      <c r="A17" s="347">
        <v>46197.625</v>
      </c>
      <c r="C17" s="347">
        <f t="shared" si="9"/>
        <v>46197.625</v>
      </c>
      <c r="D17" s="347"/>
      <c r="E17" s="347"/>
      <c r="P17" s="8">
        <v>15</v>
      </c>
      <c r="Q17" s="8" t="str">
        <f t="shared" si="0"/>
        <v>Ecuador</v>
      </c>
      <c r="R17" s="8">
        <f t="shared" si="10"/>
        <v>-5</v>
      </c>
      <c r="S17" s="363">
        <f t="shared" si="10"/>
        <v>0.20833333333333334</v>
      </c>
      <c r="T17" s="8">
        <f t="shared" si="10"/>
        <v>0</v>
      </c>
      <c r="U17" s="8">
        <f t="shared" si="10"/>
        <v>-1</v>
      </c>
      <c r="V17" s="363">
        <f t="shared" si="10"/>
        <v>4.1666666666666664E-2</v>
      </c>
      <c r="W17" s="8">
        <f t="shared" si="10"/>
        <v>-1</v>
      </c>
      <c r="X17" s="8">
        <f t="shared" si="2"/>
        <v>0</v>
      </c>
      <c r="AA17" s="8">
        <v>15</v>
      </c>
      <c r="AB17" s="8" t="str">
        <f>Idiomas!D216</f>
        <v>Croatia</v>
      </c>
      <c r="AC17" s="365">
        <v>2</v>
      </c>
      <c r="AD17" s="363">
        <f t="shared" si="3"/>
        <v>8.3333333333333329E-2</v>
      </c>
      <c r="AE17" s="8">
        <v>0</v>
      </c>
      <c r="AF17" s="8">
        <f t="shared" si="4"/>
        <v>6</v>
      </c>
      <c r="AG17" s="363">
        <f t="shared" si="5"/>
        <v>0.25</v>
      </c>
      <c r="AH17" s="8">
        <f t="shared" si="6"/>
        <v>1</v>
      </c>
      <c r="AI17" s="8">
        <f t="shared" si="7"/>
        <v>11</v>
      </c>
    </row>
    <row r="18" spans="1:35" ht="16.149999999999999" customHeight="1">
      <c r="C18" s="347"/>
      <c r="P18" s="8">
        <v>16</v>
      </c>
      <c r="Q18" s="8" t="str">
        <f t="shared" si="0"/>
        <v>Egypt</v>
      </c>
      <c r="R18" s="8">
        <f t="shared" si="10"/>
        <v>3</v>
      </c>
      <c r="S18" s="363">
        <f t="shared" si="10"/>
        <v>0.125</v>
      </c>
      <c r="T18" s="8">
        <f t="shared" si="10"/>
        <v>0</v>
      </c>
      <c r="U18" s="8">
        <f t="shared" si="10"/>
        <v>7</v>
      </c>
      <c r="V18" s="363">
        <f t="shared" si="10"/>
        <v>0.29166666666666669</v>
      </c>
      <c r="W18" s="8">
        <f t="shared" si="10"/>
        <v>1</v>
      </c>
      <c r="X18" s="8">
        <f t="shared" si="2"/>
        <v>0</v>
      </c>
      <c r="AA18" s="8">
        <v>16</v>
      </c>
      <c r="AB18" s="8" t="str">
        <f>Idiomas!D217</f>
        <v>Curaçao</v>
      </c>
      <c r="AC18" s="365">
        <v>-4</v>
      </c>
      <c r="AD18" s="363">
        <f t="shared" si="3"/>
        <v>0.16666666666666666</v>
      </c>
      <c r="AE18" s="8">
        <v>0</v>
      </c>
      <c r="AF18" s="8">
        <f t="shared" si="4"/>
        <v>0</v>
      </c>
      <c r="AG18" s="363">
        <f t="shared" si="5"/>
        <v>0</v>
      </c>
      <c r="AH18" s="8">
        <f t="shared" si="6"/>
        <v>0</v>
      </c>
      <c r="AI18" s="8">
        <f t="shared" si="7"/>
        <v>12</v>
      </c>
    </row>
    <row r="19" spans="1:35" ht="16.149999999999999" customHeight="1">
      <c r="A19" s="5" t="s">
        <v>407</v>
      </c>
      <c r="C19" s="347"/>
      <c r="P19" s="8">
        <v>17</v>
      </c>
      <c r="Q19" s="8" t="str">
        <f t="shared" si="0"/>
        <v>England</v>
      </c>
      <c r="R19" s="8">
        <f t="shared" si="10"/>
        <v>1</v>
      </c>
      <c r="S19" s="363">
        <f t="shared" si="10"/>
        <v>4.1666666666666664E-2</v>
      </c>
      <c r="T19" s="8">
        <f t="shared" si="10"/>
        <v>0</v>
      </c>
      <c r="U19" s="8">
        <f t="shared" si="10"/>
        <v>5</v>
      </c>
      <c r="V19" s="363">
        <f t="shared" si="10"/>
        <v>0.20833333333333334</v>
      </c>
      <c r="W19" s="8">
        <f t="shared" si="10"/>
        <v>1</v>
      </c>
      <c r="X19" s="8">
        <f t="shared" si="2"/>
        <v>0</v>
      </c>
      <c r="AA19" s="8">
        <v>17</v>
      </c>
      <c r="AB19" s="8" t="str">
        <f>Idiomas!D218</f>
        <v>Ecuador</v>
      </c>
      <c r="AC19" s="365">
        <v>-5</v>
      </c>
      <c r="AD19" s="363">
        <f t="shared" si="3"/>
        <v>0.20833333333333334</v>
      </c>
      <c r="AE19" s="8">
        <v>0</v>
      </c>
      <c r="AF19" s="8">
        <f t="shared" si="4"/>
        <v>-1</v>
      </c>
      <c r="AG19" s="363">
        <f t="shared" si="5"/>
        <v>4.1666666666666664E-2</v>
      </c>
      <c r="AH19" s="8">
        <f t="shared" si="6"/>
        <v>-1</v>
      </c>
      <c r="AI19" s="8">
        <f t="shared" si="7"/>
        <v>15</v>
      </c>
    </row>
    <row r="20" spans="1:35" ht="16.149999999999999" customHeight="1">
      <c r="A20" s="347">
        <v>46186.75</v>
      </c>
      <c r="C20" s="347">
        <f t="shared" ref="C20:C25" si="11">A20+INDEX($V$3:$V$86,MATCH($C$3,$P$3:$P$86,0))*INDEX($W$3:$W$86,MATCH($C$3,$P$3:$P$86,0))</f>
        <v>46186.75</v>
      </c>
      <c r="D20" s="347"/>
      <c r="E20" s="347"/>
      <c r="P20" s="8">
        <v>18</v>
      </c>
      <c r="Q20" s="8" t="str">
        <f t="shared" si="0"/>
        <v>France</v>
      </c>
      <c r="R20" s="8">
        <f t="shared" si="10"/>
        <v>2</v>
      </c>
      <c r="S20" s="363">
        <f t="shared" si="10"/>
        <v>8.3333333333333329E-2</v>
      </c>
      <c r="T20" s="8">
        <f t="shared" si="10"/>
        <v>0</v>
      </c>
      <c r="U20" s="8">
        <f t="shared" si="10"/>
        <v>6</v>
      </c>
      <c r="V20" s="363">
        <f t="shared" si="10"/>
        <v>0.25</v>
      </c>
      <c r="W20" s="8">
        <f t="shared" si="10"/>
        <v>1</v>
      </c>
      <c r="X20" s="8">
        <f t="shared" si="2"/>
        <v>0</v>
      </c>
      <c r="AA20" s="8">
        <v>18</v>
      </c>
      <c r="AB20" s="8" t="str">
        <f>Idiomas!D219</f>
        <v>Egypt</v>
      </c>
      <c r="AC20" s="365">
        <v>3</v>
      </c>
      <c r="AD20" s="363">
        <f t="shared" si="3"/>
        <v>0.125</v>
      </c>
      <c r="AE20" s="8">
        <v>0</v>
      </c>
      <c r="AF20" s="8">
        <f t="shared" si="4"/>
        <v>7</v>
      </c>
      <c r="AG20" s="363">
        <f t="shared" si="5"/>
        <v>0.29166666666666669</v>
      </c>
      <c r="AH20" s="8">
        <f t="shared" si="6"/>
        <v>1</v>
      </c>
      <c r="AI20" s="8">
        <f t="shared" si="7"/>
        <v>16</v>
      </c>
    </row>
    <row r="21" spans="1:35" ht="16.149999999999999" customHeight="1">
      <c r="A21" s="347">
        <v>46186.875</v>
      </c>
      <c r="C21" s="347">
        <f t="shared" si="11"/>
        <v>46186.875</v>
      </c>
      <c r="D21" s="347"/>
      <c r="E21" s="347"/>
      <c r="P21" s="8">
        <v>19</v>
      </c>
      <c r="Q21" s="8" t="str">
        <f t="shared" si="0"/>
        <v>Germany</v>
      </c>
      <c r="R21" s="8">
        <f t="shared" si="10"/>
        <v>2</v>
      </c>
      <c r="S21" s="363">
        <f t="shared" si="10"/>
        <v>8.3333333333333329E-2</v>
      </c>
      <c r="T21" s="8">
        <f t="shared" si="10"/>
        <v>0</v>
      </c>
      <c r="U21" s="8">
        <f t="shared" si="10"/>
        <v>6</v>
      </c>
      <c r="V21" s="363">
        <f t="shared" si="10"/>
        <v>0.25</v>
      </c>
      <c r="W21" s="8">
        <f t="shared" si="10"/>
        <v>1</v>
      </c>
      <c r="X21" s="8">
        <f t="shared" si="2"/>
        <v>0</v>
      </c>
      <c r="AA21" s="8">
        <v>19</v>
      </c>
      <c r="AB21" s="8" t="str">
        <f>Idiomas!D220</f>
        <v>Scotland</v>
      </c>
      <c r="AC21" s="365">
        <v>1</v>
      </c>
      <c r="AD21" s="363">
        <f t="shared" si="3"/>
        <v>4.1666666666666664E-2</v>
      </c>
      <c r="AE21" s="8">
        <v>0</v>
      </c>
      <c r="AF21" s="8">
        <f t="shared" si="4"/>
        <v>5</v>
      </c>
      <c r="AG21" s="363">
        <f t="shared" si="5"/>
        <v>0.20833333333333334</v>
      </c>
      <c r="AH21" s="8">
        <f t="shared" si="6"/>
        <v>1</v>
      </c>
      <c r="AI21" s="8">
        <f t="shared" si="7"/>
        <v>37</v>
      </c>
    </row>
    <row r="22" spans="1:35" ht="16.149999999999999" customHeight="1">
      <c r="A22" s="347">
        <v>46192.75</v>
      </c>
      <c r="C22" s="347">
        <f t="shared" si="11"/>
        <v>46192.75</v>
      </c>
      <c r="D22" s="347"/>
      <c r="E22" s="347"/>
      <c r="P22" s="8">
        <v>20</v>
      </c>
      <c r="Q22" s="8" t="str">
        <f t="shared" si="0"/>
        <v>Ghana</v>
      </c>
      <c r="R22" s="8">
        <f t="shared" si="10"/>
        <v>0</v>
      </c>
      <c r="S22" s="363">
        <f t="shared" si="10"/>
        <v>0</v>
      </c>
      <c r="T22" s="8">
        <f t="shared" si="10"/>
        <v>0</v>
      </c>
      <c r="U22" s="8">
        <f t="shared" si="10"/>
        <v>4</v>
      </c>
      <c r="V22" s="363">
        <f t="shared" si="10"/>
        <v>0.16666666666666666</v>
      </c>
      <c r="W22" s="8">
        <f t="shared" si="10"/>
        <v>1</v>
      </c>
      <c r="X22" s="8">
        <f t="shared" si="2"/>
        <v>0</v>
      </c>
      <c r="AA22" s="8">
        <v>20</v>
      </c>
      <c r="AB22" s="8" t="str">
        <f>Idiomas!D221</f>
        <v>Spain</v>
      </c>
      <c r="AC22" s="365">
        <v>2</v>
      </c>
      <c r="AD22" s="363">
        <f t="shared" si="3"/>
        <v>8.3333333333333329E-2</v>
      </c>
      <c r="AE22" s="8">
        <v>0</v>
      </c>
      <c r="AF22" s="8">
        <f t="shared" si="4"/>
        <v>6</v>
      </c>
      <c r="AG22" s="363">
        <f t="shared" si="5"/>
        <v>0.25</v>
      </c>
      <c r="AH22" s="8">
        <f t="shared" si="6"/>
        <v>1</v>
      </c>
      <c r="AI22" s="8">
        <f t="shared" si="7"/>
        <v>41</v>
      </c>
    </row>
    <row r="23" spans="1:35" ht="16.149999999999999" customHeight="1">
      <c r="A23" s="347">
        <v>46192.854166666657</v>
      </c>
      <c r="C23" s="347">
        <f t="shared" si="11"/>
        <v>46192.854166666657</v>
      </c>
      <c r="D23" s="347"/>
      <c r="E23" s="347"/>
      <c r="P23" s="8">
        <v>21</v>
      </c>
      <c r="Q23" s="8" t="str">
        <f t="shared" si="0"/>
        <v>Haiti</v>
      </c>
      <c r="R23" s="8">
        <f t="shared" ref="R23:W32" si="12">+INDEX($AC$3:$AH$86,MATCH($Q23,$AB$3:$AB$86,0),MATCH(R$2,$AC$2:$AH$2,0))</f>
        <v>-4</v>
      </c>
      <c r="S23" s="363">
        <f t="shared" si="12"/>
        <v>0.16666666666666666</v>
      </c>
      <c r="T23" s="8">
        <f t="shared" si="12"/>
        <v>0</v>
      </c>
      <c r="U23" s="8">
        <f t="shared" si="12"/>
        <v>0</v>
      </c>
      <c r="V23" s="363">
        <f t="shared" si="12"/>
        <v>0</v>
      </c>
      <c r="W23" s="8">
        <f t="shared" si="12"/>
        <v>0</v>
      </c>
      <c r="X23" s="8">
        <f t="shared" si="2"/>
        <v>0</v>
      </c>
      <c r="AA23" s="8">
        <v>21</v>
      </c>
      <c r="AB23" s="8" t="str">
        <f>Idiomas!D222</f>
        <v>United States</v>
      </c>
      <c r="AC23" s="365">
        <v>-4</v>
      </c>
      <c r="AD23" s="363">
        <f t="shared" si="3"/>
        <v>0.16666666666666666</v>
      </c>
      <c r="AE23" s="8">
        <v>1</v>
      </c>
      <c r="AF23" s="8">
        <f t="shared" si="4"/>
        <v>0</v>
      </c>
      <c r="AG23" s="363">
        <f t="shared" si="5"/>
        <v>0</v>
      </c>
      <c r="AH23" s="8">
        <f t="shared" si="6"/>
        <v>0</v>
      </c>
      <c r="AI23" s="8">
        <f t="shared" si="7"/>
        <v>46</v>
      </c>
    </row>
    <row r="24" spans="1:35" ht="16.149999999999999" customHeight="1">
      <c r="A24" s="347">
        <v>46197.75</v>
      </c>
      <c r="C24" s="347">
        <f t="shared" si="11"/>
        <v>46197.75</v>
      </c>
      <c r="D24" s="347"/>
      <c r="E24" s="347"/>
      <c r="P24" s="8">
        <v>22</v>
      </c>
      <c r="Q24" s="8" t="str">
        <f t="shared" si="0"/>
        <v>Iran</v>
      </c>
      <c r="R24" s="8">
        <f t="shared" si="12"/>
        <v>3.5</v>
      </c>
      <c r="S24" s="363">
        <f t="shared" si="12"/>
        <v>0.14583333333333334</v>
      </c>
      <c r="T24" s="8">
        <f t="shared" si="12"/>
        <v>0</v>
      </c>
      <c r="U24" s="8">
        <f t="shared" si="12"/>
        <v>7.5</v>
      </c>
      <c r="V24" s="363">
        <f t="shared" si="12"/>
        <v>0.3125</v>
      </c>
      <c r="W24" s="8">
        <f t="shared" si="12"/>
        <v>1</v>
      </c>
      <c r="X24" s="8">
        <f t="shared" si="2"/>
        <v>0</v>
      </c>
      <c r="AA24" s="8">
        <v>22</v>
      </c>
      <c r="AB24" s="8" t="str">
        <f>Idiomas!D223</f>
        <v>France</v>
      </c>
      <c r="AC24" s="365">
        <v>2</v>
      </c>
      <c r="AD24" s="363">
        <f t="shared" si="3"/>
        <v>8.3333333333333329E-2</v>
      </c>
      <c r="AE24" s="8">
        <v>0</v>
      </c>
      <c r="AF24" s="8">
        <f t="shared" si="4"/>
        <v>6</v>
      </c>
      <c r="AG24" s="363">
        <f t="shared" si="5"/>
        <v>0.25</v>
      </c>
      <c r="AH24" s="8">
        <f t="shared" si="6"/>
        <v>1</v>
      </c>
      <c r="AI24" s="8">
        <f t="shared" si="7"/>
        <v>18</v>
      </c>
    </row>
    <row r="25" spans="1:35" ht="16.149999999999999" customHeight="1">
      <c r="A25" s="347">
        <v>46197.75</v>
      </c>
      <c r="C25" s="347">
        <f t="shared" si="11"/>
        <v>46197.75</v>
      </c>
      <c r="D25" s="347"/>
      <c r="E25" s="347"/>
      <c r="P25" s="8">
        <v>23</v>
      </c>
      <c r="Q25" s="8" t="str">
        <f t="shared" si="0"/>
        <v>Iraq</v>
      </c>
      <c r="R25" s="8">
        <f t="shared" si="12"/>
        <v>3</v>
      </c>
      <c r="S25" s="363">
        <f t="shared" si="12"/>
        <v>0.125</v>
      </c>
      <c r="T25" s="8">
        <f t="shared" si="12"/>
        <v>0</v>
      </c>
      <c r="U25" s="8">
        <f t="shared" si="12"/>
        <v>7</v>
      </c>
      <c r="V25" s="363">
        <f t="shared" si="12"/>
        <v>0.29166666666666669</v>
      </c>
      <c r="W25" s="8">
        <f t="shared" si="12"/>
        <v>1</v>
      </c>
      <c r="X25" s="8">
        <f t="shared" si="2"/>
        <v>0</v>
      </c>
      <c r="AA25" s="8">
        <v>23</v>
      </c>
      <c r="AB25" s="8" t="str">
        <f>Idiomas!D224</f>
        <v>Ghana</v>
      </c>
      <c r="AC25" s="365">
        <v>0</v>
      </c>
      <c r="AD25" s="363">
        <f t="shared" si="3"/>
        <v>0</v>
      </c>
      <c r="AE25" s="8">
        <v>0</v>
      </c>
      <c r="AF25" s="8">
        <f t="shared" si="4"/>
        <v>4</v>
      </c>
      <c r="AG25" s="363">
        <f t="shared" si="5"/>
        <v>0.16666666666666666</v>
      </c>
      <c r="AH25" s="8">
        <f t="shared" si="6"/>
        <v>1</v>
      </c>
      <c r="AI25" s="8">
        <f t="shared" si="7"/>
        <v>20</v>
      </c>
    </row>
    <row r="26" spans="1:35" ht="16.149999999999999" customHeight="1">
      <c r="C26" s="347"/>
      <c r="E26" s="347"/>
      <c r="P26" s="8">
        <v>24</v>
      </c>
      <c r="Q26" s="8" t="str">
        <f t="shared" si="0"/>
        <v>Ivory Coast</v>
      </c>
      <c r="R26" s="8">
        <f t="shared" si="12"/>
        <v>0</v>
      </c>
      <c r="S26" s="363">
        <f t="shared" si="12"/>
        <v>0</v>
      </c>
      <c r="T26" s="8">
        <f t="shared" si="12"/>
        <v>0</v>
      </c>
      <c r="U26" s="8">
        <f t="shared" si="12"/>
        <v>4</v>
      </c>
      <c r="V26" s="363">
        <f t="shared" si="12"/>
        <v>0.16666666666666666</v>
      </c>
      <c r="W26" s="8">
        <f t="shared" si="12"/>
        <v>1</v>
      </c>
      <c r="X26" s="8">
        <f t="shared" si="2"/>
        <v>0</v>
      </c>
      <c r="AA26" s="8">
        <v>24</v>
      </c>
      <c r="AB26" s="8" t="str">
        <f>Idiomas!D225</f>
        <v>Haiti</v>
      </c>
      <c r="AC26" s="365">
        <v>-4</v>
      </c>
      <c r="AD26" s="363">
        <f t="shared" si="3"/>
        <v>0.16666666666666666</v>
      </c>
      <c r="AE26" s="8">
        <v>0</v>
      </c>
      <c r="AF26" s="8">
        <f t="shared" si="4"/>
        <v>0</v>
      </c>
      <c r="AG26" s="363">
        <f t="shared" si="5"/>
        <v>0</v>
      </c>
      <c r="AH26" s="8">
        <f t="shared" si="6"/>
        <v>0</v>
      </c>
      <c r="AI26" s="8">
        <f t="shared" si="7"/>
        <v>21</v>
      </c>
    </row>
    <row r="27" spans="1:35" ht="16.149999999999999" customHeight="1">
      <c r="A27" s="5" t="s">
        <v>409</v>
      </c>
      <c r="C27" s="347"/>
      <c r="E27" s="347"/>
      <c r="P27" s="8">
        <v>25</v>
      </c>
      <c r="Q27" s="8" t="str">
        <f t="shared" si="0"/>
        <v>Japan</v>
      </c>
      <c r="R27" s="8">
        <f t="shared" si="12"/>
        <v>9</v>
      </c>
      <c r="S27" s="363">
        <f t="shared" si="12"/>
        <v>0.375</v>
      </c>
      <c r="T27" s="8">
        <f t="shared" si="12"/>
        <v>0</v>
      </c>
      <c r="U27" s="8">
        <f t="shared" si="12"/>
        <v>13</v>
      </c>
      <c r="V27" s="363">
        <f t="shared" si="12"/>
        <v>0.54166666666666663</v>
      </c>
      <c r="W27" s="8">
        <f t="shared" si="12"/>
        <v>1</v>
      </c>
      <c r="X27" s="8">
        <f t="shared" si="2"/>
        <v>0</v>
      </c>
      <c r="AA27" s="8">
        <v>25</v>
      </c>
      <c r="AB27" s="8" t="str">
        <f>Idiomas!D226</f>
        <v>England</v>
      </c>
      <c r="AC27" s="365">
        <v>1</v>
      </c>
      <c r="AD27" s="363">
        <f t="shared" si="3"/>
        <v>4.1666666666666664E-2</v>
      </c>
      <c r="AE27" s="8">
        <v>0</v>
      </c>
      <c r="AF27" s="8">
        <f t="shared" si="4"/>
        <v>5</v>
      </c>
      <c r="AG27" s="363">
        <f t="shared" si="5"/>
        <v>0.20833333333333334</v>
      </c>
      <c r="AH27" s="8">
        <f t="shared" si="6"/>
        <v>1</v>
      </c>
      <c r="AI27" s="8">
        <f t="shared" si="7"/>
        <v>17</v>
      </c>
    </row>
    <row r="28" spans="1:35" ht="16.149999999999999" customHeight="1">
      <c r="A28" s="347">
        <v>46185.875</v>
      </c>
      <c r="C28" s="347">
        <f t="shared" ref="C28:C33" si="13">A28+INDEX($V$3:$V$86,MATCH($C$3,$P$3:$P$86,0))*INDEX($W$3:$W$86,MATCH($C$3,$P$3:$P$86,0))</f>
        <v>46185.875</v>
      </c>
      <c r="D28" s="347"/>
      <c r="E28" s="347"/>
      <c r="P28" s="8">
        <v>26</v>
      </c>
      <c r="Q28" s="8" t="str">
        <f t="shared" si="0"/>
        <v>Jordan</v>
      </c>
      <c r="R28" s="8">
        <f t="shared" si="12"/>
        <v>3</v>
      </c>
      <c r="S28" s="363">
        <f t="shared" si="12"/>
        <v>0.125</v>
      </c>
      <c r="T28" s="8">
        <f t="shared" si="12"/>
        <v>0</v>
      </c>
      <c r="U28" s="8">
        <f t="shared" si="12"/>
        <v>7</v>
      </c>
      <c r="V28" s="363">
        <f t="shared" si="12"/>
        <v>0.29166666666666669</v>
      </c>
      <c r="W28" s="8">
        <f t="shared" si="12"/>
        <v>1</v>
      </c>
      <c r="X28" s="8">
        <f t="shared" si="2"/>
        <v>0</v>
      </c>
      <c r="AA28" s="8">
        <v>26</v>
      </c>
      <c r="AB28" s="8" t="str">
        <f>Idiomas!D227</f>
        <v>Iran</v>
      </c>
      <c r="AC28" s="365">
        <f>+INDEX(Credits!$Y$87:$Y$91,MATCH(Credits!$EZ$6144,Credits!$U$87:$U$91,0))</f>
        <v>3.5</v>
      </c>
      <c r="AD28" s="363">
        <f t="shared" si="3"/>
        <v>0.14583333333333334</v>
      </c>
      <c r="AE28" s="8">
        <v>0</v>
      </c>
      <c r="AF28" s="8">
        <f t="shared" si="4"/>
        <v>7.5</v>
      </c>
      <c r="AG28" s="363">
        <f t="shared" si="5"/>
        <v>0.3125</v>
      </c>
      <c r="AH28" s="8">
        <f t="shared" si="6"/>
        <v>1</v>
      </c>
      <c r="AI28" s="8">
        <f t="shared" si="7"/>
        <v>22</v>
      </c>
    </row>
    <row r="29" spans="1:35" ht="16.149999999999999" customHeight="1">
      <c r="A29" s="347">
        <v>46187</v>
      </c>
      <c r="C29" s="347">
        <f t="shared" si="13"/>
        <v>46187</v>
      </c>
      <c r="D29" s="347"/>
      <c r="E29" s="347"/>
      <c r="P29" s="8">
        <v>27</v>
      </c>
      <c r="Q29" s="8" t="str">
        <f t="shared" si="0"/>
        <v>Mexico</v>
      </c>
      <c r="R29" s="8">
        <f t="shared" si="12"/>
        <v>-6</v>
      </c>
      <c r="S29" s="363">
        <f t="shared" si="12"/>
        <v>0.25</v>
      </c>
      <c r="T29" s="8">
        <f t="shared" si="12"/>
        <v>0</v>
      </c>
      <c r="U29" s="8">
        <f t="shared" si="12"/>
        <v>-2</v>
      </c>
      <c r="V29" s="363">
        <f t="shared" si="12"/>
        <v>8.3333333333333329E-2</v>
      </c>
      <c r="W29" s="8">
        <f t="shared" si="12"/>
        <v>-1</v>
      </c>
      <c r="X29" s="8">
        <f t="shared" si="2"/>
        <v>0</v>
      </c>
      <c r="AA29" s="8">
        <v>27</v>
      </c>
      <c r="AB29" s="8" t="str">
        <f>Idiomas!D228</f>
        <v>Japan</v>
      </c>
      <c r="AC29" s="365">
        <v>9</v>
      </c>
      <c r="AD29" s="363">
        <f t="shared" si="3"/>
        <v>0.375</v>
      </c>
      <c r="AE29" s="8">
        <v>0</v>
      </c>
      <c r="AF29" s="8">
        <f t="shared" si="4"/>
        <v>13</v>
      </c>
      <c r="AG29" s="363">
        <f t="shared" si="5"/>
        <v>0.54166666666666663</v>
      </c>
      <c r="AH29" s="8">
        <f t="shared" si="6"/>
        <v>1</v>
      </c>
      <c r="AI29" s="8">
        <f t="shared" si="7"/>
        <v>25</v>
      </c>
    </row>
    <row r="30" spans="1:35" ht="16.149999999999999" customHeight="1">
      <c r="A30" s="347">
        <v>46192.625</v>
      </c>
      <c r="C30" s="347">
        <f t="shared" si="13"/>
        <v>46192.625</v>
      </c>
      <c r="D30" s="347"/>
      <c r="E30" s="347"/>
      <c r="P30" s="8">
        <v>28</v>
      </c>
      <c r="Q30" s="8" t="str">
        <f t="shared" si="0"/>
        <v>Morocco</v>
      </c>
      <c r="R30" s="8">
        <f t="shared" si="12"/>
        <v>1</v>
      </c>
      <c r="S30" s="363">
        <f t="shared" si="12"/>
        <v>4.1666666666666664E-2</v>
      </c>
      <c r="T30" s="8">
        <f t="shared" si="12"/>
        <v>0</v>
      </c>
      <c r="U30" s="8">
        <f t="shared" si="12"/>
        <v>5</v>
      </c>
      <c r="V30" s="363">
        <f t="shared" si="12"/>
        <v>0.20833333333333334</v>
      </c>
      <c r="W30" s="8">
        <f t="shared" si="12"/>
        <v>1</v>
      </c>
      <c r="X30" s="8">
        <f t="shared" si="2"/>
        <v>0</v>
      </c>
      <c r="AA30" s="8">
        <v>28</v>
      </c>
      <c r="AB30" s="8" t="str">
        <f>Idiomas!D229</f>
        <v>Jordan</v>
      </c>
      <c r="AC30" s="365">
        <v>3</v>
      </c>
      <c r="AD30" s="363">
        <f t="shared" si="3"/>
        <v>0.125</v>
      </c>
      <c r="AE30" s="8">
        <v>0</v>
      </c>
      <c r="AF30" s="8">
        <f t="shared" si="4"/>
        <v>7</v>
      </c>
      <c r="AG30" s="363">
        <f t="shared" si="5"/>
        <v>0.29166666666666669</v>
      </c>
      <c r="AH30" s="8">
        <f t="shared" si="6"/>
        <v>1</v>
      </c>
      <c r="AI30" s="8">
        <f t="shared" si="7"/>
        <v>26</v>
      </c>
    </row>
    <row r="31" spans="1:35" ht="16.149999999999999" customHeight="1">
      <c r="A31" s="347">
        <v>46192.958333333343</v>
      </c>
      <c r="C31" s="347">
        <f t="shared" si="13"/>
        <v>46192.958333333343</v>
      </c>
      <c r="D31" s="347"/>
      <c r="E31" s="347"/>
      <c r="P31" s="8">
        <v>29</v>
      </c>
      <c r="Q31" s="8" t="str">
        <f t="shared" si="0"/>
        <v>Netherlands</v>
      </c>
      <c r="R31" s="8">
        <f t="shared" si="12"/>
        <v>2</v>
      </c>
      <c r="S31" s="363">
        <f t="shared" si="12"/>
        <v>8.3333333333333329E-2</v>
      </c>
      <c r="T31" s="8">
        <f t="shared" si="12"/>
        <v>0</v>
      </c>
      <c r="U31" s="8">
        <f t="shared" si="12"/>
        <v>6</v>
      </c>
      <c r="V31" s="363">
        <f t="shared" si="12"/>
        <v>0.25</v>
      </c>
      <c r="W31" s="8">
        <f t="shared" si="12"/>
        <v>1</v>
      </c>
      <c r="X31" s="8">
        <f t="shared" si="2"/>
        <v>0</v>
      </c>
      <c r="AA31" s="8">
        <v>29</v>
      </c>
      <c r="AB31" s="8" t="str">
        <f>Idiomas!D230</f>
        <v>Morocco</v>
      </c>
      <c r="AC31" s="365">
        <v>1</v>
      </c>
      <c r="AD31" s="363">
        <f t="shared" si="3"/>
        <v>4.1666666666666664E-2</v>
      </c>
      <c r="AE31" s="8">
        <v>0</v>
      </c>
      <c r="AF31" s="8">
        <f t="shared" si="4"/>
        <v>5</v>
      </c>
      <c r="AG31" s="363">
        <f t="shared" si="5"/>
        <v>0.20833333333333334</v>
      </c>
      <c r="AH31" s="8">
        <f t="shared" si="6"/>
        <v>1</v>
      </c>
      <c r="AI31" s="8">
        <f t="shared" si="7"/>
        <v>28</v>
      </c>
    </row>
    <row r="32" spans="1:35" ht="16.149999999999999" customHeight="1">
      <c r="A32" s="347">
        <v>46198.916666666657</v>
      </c>
      <c r="C32" s="347">
        <f t="shared" si="13"/>
        <v>46198.916666666657</v>
      </c>
      <c r="D32" s="347"/>
      <c r="E32" s="347"/>
      <c r="P32" s="8">
        <v>30</v>
      </c>
      <c r="Q32" s="8" t="str">
        <f t="shared" si="0"/>
        <v>New Zealand</v>
      </c>
      <c r="R32" s="8">
        <f t="shared" si="12"/>
        <v>12</v>
      </c>
      <c r="S32" s="363">
        <f t="shared" si="12"/>
        <v>0.5</v>
      </c>
      <c r="T32" s="8">
        <f t="shared" si="12"/>
        <v>0</v>
      </c>
      <c r="U32" s="8">
        <f t="shared" si="12"/>
        <v>16</v>
      </c>
      <c r="V32" s="363">
        <f t="shared" si="12"/>
        <v>0.66666666666666663</v>
      </c>
      <c r="W32" s="8">
        <f t="shared" si="12"/>
        <v>1</v>
      </c>
      <c r="X32" s="8">
        <f t="shared" si="2"/>
        <v>0</v>
      </c>
      <c r="AA32" s="8">
        <v>30</v>
      </c>
      <c r="AB32" s="8" t="str">
        <f>Idiomas!D231</f>
        <v>Mexico</v>
      </c>
      <c r="AC32" s="365">
        <v>-6</v>
      </c>
      <c r="AD32" s="363">
        <f t="shared" si="3"/>
        <v>0.25</v>
      </c>
      <c r="AE32" s="8">
        <v>0</v>
      </c>
      <c r="AF32" s="8">
        <f t="shared" si="4"/>
        <v>-2</v>
      </c>
      <c r="AG32" s="363">
        <f t="shared" si="5"/>
        <v>8.3333333333333329E-2</v>
      </c>
      <c r="AH32" s="8">
        <f t="shared" si="6"/>
        <v>-1</v>
      </c>
      <c r="AI32" s="8">
        <f t="shared" si="7"/>
        <v>27</v>
      </c>
    </row>
    <row r="33" spans="1:35" ht="16.149999999999999" customHeight="1">
      <c r="A33" s="347">
        <v>46198.916666666657</v>
      </c>
      <c r="C33" s="347">
        <f t="shared" si="13"/>
        <v>46198.916666666657</v>
      </c>
      <c r="D33" s="347"/>
      <c r="P33" s="8">
        <v>31</v>
      </c>
      <c r="Q33" s="8" t="str">
        <f t="shared" si="0"/>
        <v>Norway</v>
      </c>
      <c r="R33" s="8">
        <f t="shared" ref="R33:W42" si="14">+INDEX($AC$3:$AH$86,MATCH($Q33,$AB$3:$AB$86,0),MATCH(R$2,$AC$2:$AH$2,0))</f>
        <v>2</v>
      </c>
      <c r="S33" s="363">
        <f t="shared" si="14"/>
        <v>8.3333333333333329E-2</v>
      </c>
      <c r="T33" s="8">
        <f t="shared" si="14"/>
        <v>0</v>
      </c>
      <c r="U33" s="8">
        <f t="shared" si="14"/>
        <v>6</v>
      </c>
      <c r="V33" s="363">
        <f t="shared" si="14"/>
        <v>0.25</v>
      </c>
      <c r="W33" s="8">
        <f t="shared" si="14"/>
        <v>1</v>
      </c>
      <c r="X33" s="8">
        <f t="shared" si="2"/>
        <v>0</v>
      </c>
      <c r="AA33" s="8">
        <v>31</v>
      </c>
      <c r="AB33" s="8" t="str">
        <f>Idiomas!D232</f>
        <v>Norway</v>
      </c>
      <c r="AC33" s="365">
        <v>2</v>
      </c>
      <c r="AD33" s="363">
        <f t="shared" si="3"/>
        <v>8.3333333333333329E-2</v>
      </c>
      <c r="AE33" s="8">
        <v>0</v>
      </c>
      <c r="AF33" s="8">
        <f t="shared" si="4"/>
        <v>6</v>
      </c>
      <c r="AG33" s="363">
        <f t="shared" si="5"/>
        <v>0.25</v>
      </c>
      <c r="AH33" s="8">
        <f t="shared" si="6"/>
        <v>1</v>
      </c>
      <c r="AI33" s="8">
        <f t="shared" si="7"/>
        <v>31</v>
      </c>
    </row>
    <row r="34" spans="1:35" ht="16.149999999999999" customHeight="1">
      <c r="C34" s="347"/>
      <c r="P34" s="8">
        <v>32</v>
      </c>
      <c r="Q34" s="8" t="str">
        <f t="shared" si="0"/>
        <v>Panama</v>
      </c>
      <c r="R34" s="8">
        <f t="shared" si="14"/>
        <v>-5</v>
      </c>
      <c r="S34" s="363">
        <f t="shared" si="14"/>
        <v>0.20833333333333334</v>
      </c>
      <c r="T34" s="8">
        <f t="shared" si="14"/>
        <v>0</v>
      </c>
      <c r="U34" s="8">
        <f t="shared" si="14"/>
        <v>-1</v>
      </c>
      <c r="V34" s="363">
        <f t="shared" si="14"/>
        <v>4.1666666666666664E-2</v>
      </c>
      <c r="W34" s="8">
        <f t="shared" si="14"/>
        <v>-1</v>
      </c>
      <c r="X34" s="8">
        <f t="shared" si="2"/>
        <v>0</v>
      </c>
      <c r="AA34" s="8">
        <v>32</v>
      </c>
      <c r="AB34" s="8" t="str">
        <f>Idiomas!D233</f>
        <v>New Zealand</v>
      </c>
      <c r="AC34" s="365">
        <v>12</v>
      </c>
      <c r="AD34" s="363">
        <f t="shared" si="3"/>
        <v>0.5</v>
      </c>
      <c r="AE34" s="8">
        <v>0</v>
      </c>
      <c r="AF34" s="8">
        <f t="shared" si="4"/>
        <v>16</v>
      </c>
      <c r="AG34" s="363">
        <f t="shared" si="5"/>
        <v>0.66666666666666663</v>
      </c>
      <c r="AH34" s="8">
        <f t="shared" si="6"/>
        <v>1</v>
      </c>
      <c r="AI34" s="8">
        <f t="shared" si="7"/>
        <v>30</v>
      </c>
    </row>
    <row r="35" spans="1:35" ht="16.149999999999999" customHeight="1">
      <c r="A35" s="5" t="s">
        <v>1464</v>
      </c>
      <c r="C35" s="347"/>
      <c r="P35" s="8">
        <v>33</v>
      </c>
      <c r="Q35" s="8" t="str">
        <f t="shared" si="0"/>
        <v>Paraguay</v>
      </c>
      <c r="R35" s="8">
        <f t="shared" si="14"/>
        <v>-4</v>
      </c>
      <c r="S35" s="363">
        <f t="shared" si="14"/>
        <v>0.16666666666666666</v>
      </c>
      <c r="T35" s="8">
        <f t="shared" si="14"/>
        <v>0</v>
      </c>
      <c r="U35" s="8">
        <f t="shared" si="14"/>
        <v>0</v>
      </c>
      <c r="V35" s="363">
        <f t="shared" si="14"/>
        <v>0</v>
      </c>
      <c r="W35" s="8">
        <f t="shared" si="14"/>
        <v>0</v>
      </c>
      <c r="X35" s="8">
        <f t="shared" si="2"/>
        <v>0</v>
      </c>
      <c r="AA35" s="8">
        <v>33</v>
      </c>
      <c r="AB35" s="8" t="str">
        <f>Idiomas!D234</f>
        <v>Netherlands</v>
      </c>
      <c r="AC35" s="365">
        <v>2</v>
      </c>
      <c r="AD35" s="363">
        <f t="shared" ref="AD35:AD66" si="15">ABS(AC35/24)</f>
        <v>8.3333333333333329E-2</v>
      </c>
      <c r="AE35" s="8">
        <v>0</v>
      </c>
      <c r="AF35" s="8">
        <f t="shared" ref="AF35:AF66" si="16">AC35-$M$2</f>
        <v>6</v>
      </c>
      <c r="AG35" s="363">
        <f t="shared" ref="AG35:AG66" si="17">ABS(AF35/24)</f>
        <v>0.25</v>
      </c>
      <c r="AH35" s="8">
        <f t="shared" ref="AH35:AH66" si="18">IF(AC35&gt;$M$2,1,IF(AC35=$M$2,0,-1))</f>
        <v>1</v>
      </c>
      <c r="AI35" s="8">
        <f t="shared" si="7"/>
        <v>29</v>
      </c>
    </row>
    <row r="36" spans="1:35" ht="16.149999999999999" customHeight="1">
      <c r="A36" s="347">
        <v>46187.541666666657</v>
      </c>
      <c r="C36" s="347">
        <f t="shared" ref="C36:C41" si="19">A36+INDEX($V$3:$V$86,MATCH($C$3,$P$3:$P$86,0))*INDEX($W$3:$W$86,MATCH($C$3,$P$3:$P$86,0))</f>
        <v>46187.541666666657</v>
      </c>
      <c r="D36" s="347"/>
      <c r="P36" s="8">
        <v>34</v>
      </c>
      <c r="Q36" s="8" t="str">
        <f t="shared" si="0"/>
        <v>Portugal</v>
      </c>
      <c r="R36" s="8">
        <f t="shared" si="14"/>
        <v>1</v>
      </c>
      <c r="S36" s="363">
        <f t="shared" si="14"/>
        <v>4.1666666666666664E-2</v>
      </c>
      <c r="T36" s="8">
        <f t="shared" si="14"/>
        <v>0</v>
      </c>
      <c r="U36" s="8">
        <f t="shared" si="14"/>
        <v>5</v>
      </c>
      <c r="V36" s="363">
        <f t="shared" si="14"/>
        <v>0.20833333333333334</v>
      </c>
      <c r="W36" s="8">
        <f t="shared" si="14"/>
        <v>1</v>
      </c>
      <c r="X36" s="8">
        <f t="shared" si="2"/>
        <v>0</v>
      </c>
      <c r="AA36" s="8">
        <v>34</v>
      </c>
      <c r="AB36" s="8" t="str">
        <f>Idiomas!D235</f>
        <v>Panama</v>
      </c>
      <c r="AC36" s="365">
        <v>-5</v>
      </c>
      <c r="AD36" s="363">
        <f t="shared" si="15"/>
        <v>0.20833333333333334</v>
      </c>
      <c r="AE36" s="8">
        <v>0</v>
      </c>
      <c r="AF36" s="8">
        <f t="shared" si="16"/>
        <v>-1</v>
      </c>
      <c r="AG36" s="363">
        <f t="shared" si="17"/>
        <v>4.1666666666666664E-2</v>
      </c>
      <c r="AH36" s="8">
        <f t="shared" si="18"/>
        <v>-1</v>
      </c>
      <c r="AI36" s="8">
        <f t="shared" si="7"/>
        <v>32</v>
      </c>
    </row>
    <row r="37" spans="1:35" ht="16.149999999999999" customHeight="1">
      <c r="A37" s="347">
        <v>46187.791666666657</v>
      </c>
      <c r="C37" s="347">
        <f t="shared" si="19"/>
        <v>46187.791666666657</v>
      </c>
      <c r="D37" s="347"/>
      <c r="P37" s="8">
        <v>35</v>
      </c>
      <c r="Q37" s="8" t="str">
        <f t="shared" si="0"/>
        <v>Qatar</v>
      </c>
      <c r="R37" s="8">
        <f t="shared" si="14"/>
        <v>3</v>
      </c>
      <c r="S37" s="363">
        <f t="shared" si="14"/>
        <v>0.125</v>
      </c>
      <c r="T37" s="8">
        <f t="shared" si="14"/>
        <v>0</v>
      </c>
      <c r="U37" s="8">
        <f t="shared" si="14"/>
        <v>7</v>
      </c>
      <c r="V37" s="363">
        <f t="shared" si="14"/>
        <v>0.29166666666666669</v>
      </c>
      <c r="W37" s="8">
        <f t="shared" si="14"/>
        <v>1</v>
      </c>
      <c r="X37" s="8">
        <f t="shared" si="2"/>
        <v>0</v>
      </c>
      <c r="AA37" s="8">
        <v>35</v>
      </c>
      <c r="AB37" s="8" t="str">
        <f>Idiomas!D236</f>
        <v>Paraguay</v>
      </c>
      <c r="AC37" s="365">
        <v>-4</v>
      </c>
      <c r="AD37" s="363">
        <f t="shared" si="15"/>
        <v>0.16666666666666666</v>
      </c>
      <c r="AE37" s="8">
        <v>0</v>
      </c>
      <c r="AF37" s="8">
        <f t="shared" si="16"/>
        <v>0</v>
      </c>
      <c r="AG37" s="363">
        <f t="shared" si="17"/>
        <v>0</v>
      </c>
      <c r="AH37" s="8">
        <f t="shared" si="18"/>
        <v>0</v>
      </c>
      <c r="AI37" s="8">
        <f t="shared" si="7"/>
        <v>33</v>
      </c>
    </row>
    <row r="38" spans="1:35" ht="16.149999999999999" customHeight="1">
      <c r="A38" s="347">
        <v>46193.666666666657</v>
      </c>
      <c r="C38" s="347">
        <f t="shared" si="19"/>
        <v>46193.666666666657</v>
      </c>
      <c r="D38" s="347"/>
      <c r="P38" s="8">
        <v>36</v>
      </c>
      <c r="Q38" s="8" t="str">
        <f t="shared" si="0"/>
        <v>Saudi Arabia</v>
      </c>
      <c r="R38" s="8">
        <f t="shared" si="14"/>
        <v>3</v>
      </c>
      <c r="S38" s="363">
        <f t="shared" si="14"/>
        <v>0.125</v>
      </c>
      <c r="T38" s="8">
        <f t="shared" si="14"/>
        <v>0</v>
      </c>
      <c r="U38" s="8">
        <f t="shared" si="14"/>
        <v>7</v>
      </c>
      <c r="V38" s="363">
        <f t="shared" si="14"/>
        <v>0.29166666666666669</v>
      </c>
      <c r="W38" s="8">
        <f t="shared" si="14"/>
        <v>1</v>
      </c>
      <c r="X38" s="8">
        <f t="shared" si="2"/>
        <v>0</v>
      </c>
      <c r="AA38" s="8">
        <v>36</v>
      </c>
      <c r="AB38" s="8" t="str">
        <f>Idiomas!D237</f>
        <v>Portugal</v>
      </c>
      <c r="AC38" s="365">
        <v>1</v>
      </c>
      <c r="AD38" s="363">
        <f t="shared" si="15"/>
        <v>4.1666666666666664E-2</v>
      </c>
      <c r="AE38" s="8">
        <v>0</v>
      </c>
      <c r="AF38" s="8">
        <f t="shared" si="16"/>
        <v>5</v>
      </c>
      <c r="AG38" s="363">
        <f t="shared" si="17"/>
        <v>0.20833333333333334</v>
      </c>
      <c r="AH38" s="8">
        <f t="shared" si="18"/>
        <v>1</v>
      </c>
      <c r="AI38" s="8">
        <f t="shared" si="7"/>
        <v>34</v>
      </c>
    </row>
    <row r="39" spans="1:35" ht="16.149999999999999" customHeight="1">
      <c r="A39" s="347">
        <v>46193.833333333343</v>
      </c>
      <c r="C39" s="347">
        <f t="shared" si="19"/>
        <v>46193.833333333343</v>
      </c>
      <c r="D39" s="347"/>
      <c r="P39" s="8">
        <v>37</v>
      </c>
      <c r="Q39" s="8" t="str">
        <f t="shared" si="0"/>
        <v>Scotland</v>
      </c>
      <c r="R39" s="8">
        <f t="shared" si="14"/>
        <v>1</v>
      </c>
      <c r="S39" s="363">
        <f t="shared" si="14"/>
        <v>4.1666666666666664E-2</v>
      </c>
      <c r="T39" s="8">
        <f t="shared" si="14"/>
        <v>0</v>
      </c>
      <c r="U39" s="8">
        <f t="shared" si="14"/>
        <v>5</v>
      </c>
      <c r="V39" s="363">
        <f t="shared" si="14"/>
        <v>0.20833333333333334</v>
      </c>
      <c r="W39" s="8">
        <f t="shared" si="14"/>
        <v>1</v>
      </c>
      <c r="X39" s="8">
        <f t="shared" si="2"/>
        <v>0</v>
      </c>
      <c r="AA39" s="8">
        <v>37</v>
      </c>
      <c r="AB39" s="8" t="str">
        <f>Idiomas!D238</f>
        <v>Senegal</v>
      </c>
      <c r="AC39" s="365">
        <v>0</v>
      </c>
      <c r="AD39" s="363">
        <f t="shared" si="15"/>
        <v>0</v>
      </c>
      <c r="AE39" s="8">
        <v>0</v>
      </c>
      <c r="AF39" s="8">
        <f t="shared" si="16"/>
        <v>4</v>
      </c>
      <c r="AG39" s="363">
        <f t="shared" si="17"/>
        <v>0.16666666666666666</v>
      </c>
      <c r="AH39" s="8">
        <f t="shared" si="18"/>
        <v>1</v>
      </c>
      <c r="AI39" s="8">
        <f t="shared" si="7"/>
        <v>38</v>
      </c>
    </row>
    <row r="40" spans="1:35" ht="16.149999999999999" customHeight="1">
      <c r="A40" s="347">
        <v>46198.666666666657</v>
      </c>
      <c r="C40" s="347">
        <f t="shared" si="19"/>
        <v>46198.666666666657</v>
      </c>
      <c r="D40" s="347"/>
      <c r="P40" s="8">
        <v>38</v>
      </c>
      <c r="Q40" s="8" t="str">
        <f t="shared" si="0"/>
        <v>Senegal</v>
      </c>
      <c r="R40" s="8">
        <f t="shared" si="14"/>
        <v>0</v>
      </c>
      <c r="S40" s="363">
        <f t="shared" si="14"/>
        <v>0</v>
      </c>
      <c r="T40" s="8">
        <f t="shared" si="14"/>
        <v>0</v>
      </c>
      <c r="U40" s="8">
        <f t="shared" si="14"/>
        <v>4</v>
      </c>
      <c r="V40" s="363">
        <f t="shared" si="14"/>
        <v>0.16666666666666666</v>
      </c>
      <c r="W40" s="8">
        <f t="shared" si="14"/>
        <v>1</v>
      </c>
      <c r="X40" s="8">
        <f t="shared" si="2"/>
        <v>0</v>
      </c>
      <c r="AA40" s="8">
        <v>38</v>
      </c>
      <c r="AB40" s="8" t="str">
        <f>Idiomas!D239</f>
        <v>South Africa</v>
      </c>
      <c r="AC40" s="365">
        <v>2</v>
      </c>
      <c r="AD40" s="363">
        <f t="shared" si="15"/>
        <v>8.3333333333333329E-2</v>
      </c>
      <c r="AE40" s="8">
        <v>0</v>
      </c>
      <c r="AF40" s="8">
        <f t="shared" si="16"/>
        <v>6</v>
      </c>
      <c r="AG40" s="363">
        <f t="shared" si="17"/>
        <v>0.25</v>
      </c>
      <c r="AH40" s="8">
        <f t="shared" si="18"/>
        <v>1</v>
      </c>
      <c r="AI40" s="8">
        <f t="shared" si="7"/>
        <v>39</v>
      </c>
    </row>
    <row r="41" spans="1:35" ht="16.149999999999999" customHeight="1">
      <c r="A41" s="347">
        <v>46198.666666666657</v>
      </c>
      <c r="C41" s="347">
        <f t="shared" si="19"/>
        <v>46198.666666666657</v>
      </c>
      <c r="D41" s="347"/>
      <c r="P41" s="8">
        <v>39</v>
      </c>
      <c r="Q41" s="8" t="str">
        <f t="shared" si="0"/>
        <v>South Africa</v>
      </c>
      <c r="R41" s="8">
        <f t="shared" si="14"/>
        <v>2</v>
      </c>
      <c r="S41" s="363">
        <f t="shared" si="14"/>
        <v>8.3333333333333329E-2</v>
      </c>
      <c r="T41" s="8">
        <f t="shared" si="14"/>
        <v>0</v>
      </c>
      <c r="U41" s="8">
        <f t="shared" si="14"/>
        <v>6</v>
      </c>
      <c r="V41" s="363">
        <f t="shared" si="14"/>
        <v>0.25</v>
      </c>
      <c r="W41" s="8">
        <f t="shared" si="14"/>
        <v>1</v>
      </c>
      <c r="X41" s="8">
        <f t="shared" si="2"/>
        <v>0</v>
      </c>
      <c r="AA41" s="8">
        <v>39</v>
      </c>
      <c r="AB41" s="8" t="str">
        <f>Idiomas!D240</f>
        <v>Switzerland</v>
      </c>
      <c r="AC41" s="365">
        <v>2</v>
      </c>
      <c r="AD41" s="363">
        <f t="shared" si="15"/>
        <v>8.3333333333333329E-2</v>
      </c>
      <c r="AE41" s="8">
        <v>0</v>
      </c>
      <c r="AF41" s="8">
        <f t="shared" si="16"/>
        <v>6</v>
      </c>
      <c r="AG41" s="363">
        <f t="shared" si="17"/>
        <v>0.25</v>
      </c>
      <c r="AH41" s="8">
        <f t="shared" si="18"/>
        <v>1</v>
      </c>
      <c r="AI41" s="8">
        <f t="shared" si="7"/>
        <v>43</v>
      </c>
    </row>
    <row r="42" spans="1:35" ht="16.149999999999999" customHeight="1">
      <c r="C42" s="347"/>
      <c r="P42" s="8">
        <v>40</v>
      </c>
      <c r="Q42" s="8" t="str">
        <f t="shared" si="0"/>
        <v>South Korea</v>
      </c>
      <c r="R42" s="8">
        <f t="shared" si="14"/>
        <v>9</v>
      </c>
      <c r="S42" s="363">
        <f t="shared" si="14"/>
        <v>0.375</v>
      </c>
      <c r="T42" s="8">
        <f t="shared" si="14"/>
        <v>0</v>
      </c>
      <c r="U42" s="8">
        <f t="shared" si="14"/>
        <v>13</v>
      </c>
      <c r="V42" s="363">
        <f t="shared" si="14"/>
        <v>0.54166666666666663</v>
      </c>
      <c r="W42" s="8">
        <f t="shared" si="14"/>
        <v>1</v>
      </c>
      <c r="X42" s="8">
        <f t="shared" si="2"/>
        <v>0</v>
      </c>
      <c r="AA42" s="8">
        <v>40</v>
      </c>
      <c r="AB42" s="8" t="str">
        <f>Idiomas!D241</f>
        <v>Tunisia</v>
      </c>
      <c r="AC42" s="365">
        <v>1</v>
      </c>
      <c r="AD42" s="363">
        <f t="shared" si="15"/>
        <v>4.1666666666666664E-2</v>
      </c>
      <c r="AE42" s="8">
        <v>0</v>
      </c>
      <c r="AF42" s="8">
        <f t="shared" si="16"/>
        <v>5</v>
      </c>
      <c r="AG42" s="363">
        <f t="shared" si="17"/>
        <v>0.20833333333333334</v>
      </c>
      <c r="AH42" s="8">
        <f t="shared" si="18"/>
        <v>1</v>
      </c>
      <c r="AI42" s="8">
        <f t="shared" si="7"/>
        <v>44</v>
      </c>
    </row>
    <row r="43" spans="1:35" ht="16.149999999999999" customHeight="1">
      <c r="A43" s="5" t="s">
        <v>59</v>
      </c>
      <c r="C43" s="347"/>
      <c r="P43" s="8">
        <v>41</v>
      </c>
      <c r="Q43" s="8" t="str">
        <f t="shared" si="0"/>
        <v>Spain</v>
      </c>
      <c r="R43" s="8">
        <f t="shared" ref="R43:W50" si="20">+INDEX($AC$3:$AH$86,MATCH($Q43,$AB$3:$AB$86,0),MATCH(R$2,$AC$2:$AH$2,0))</f>
        <v>2</v>
      </c>
      <c r="S43" s="363">
        <f t="shared" si="20"/>
        <v>8.3333333333333329E-2</v>
      </c>
      <c r="T43" s="8">
        <f t="shared" si="20"/>
        <v>0</v>
      </c>
      <c r="U43" s="8">
        <f t="shared" si="20"/>
        <v>6</v>
      </c>
      <c r="V43" s="363">
        <f t="shared" si="20"/>
        <v>0.25</v>
      </c>
      <c r="W43" s="8">
        <f t="shared" si="20"/>
        <v>1</v>
      </c>
      <c r="X43" s="8">
        <f t="shared" si="2"/>
        <v>0</v>
      </c>
      <c r="AA43" s="8">
        <v>41</v>
      </c>
      <c r="AB43" s="8" t="str">
        <f>Idiomas!D242</f>
        <v>Uruguay</v>
      </c>
      <c r="AC43" s="365">
        <v>-3</v>
      </c>
      <c r="AD43" s="363">
        <f t="shared" si="15"/>
        <v>0.125</v>
      </c>
      <c r="AE43" s="8">
        <v>0</v>
      </c>
      <c r="AF43" s="8">
        <f t="shared" si="16"/>
        <v>1</v>
      </c>
      <c r="AG43" s="363">
        <f t="shared" si="17"/>
        <v>4.1666666666666664E-2</v>
      </c>
      <c r="AH43" s="8">
        <f t="shared" si="18"/>
        <v>1</v>
      </c>
      <c r="AI43" s="8">
        <f t="shared" si="7"/>
        <v>47</v>
      </c>
    </row>
    <row r="44" spans="1:35" ht="16.149999999999999" customHeight="1">
      <c r="A44" s="347">
        <v>46187.666666666657</v>
      </c>
      <c r="C44" s="347">
        <f t="shared" ref="C44:C49" si="21">A44+INDEX($V$3:$V$86,MATCH($C$3,$P$3:$P$86,0))*INDEX($W$3:$W$86,MATCH($C$3,$P$3:$P$86,0))</f>
        <v>46187.666666666657</v>
      </c>
      <c r="D44" s="347"/>
      <c r="P44" s="8">
        <v>42</v>
      </c>
      <c r="Q44" s="8" t="str">
        <f t="shared" si="0"/>
        <v>Sweden</v>
      </c>
      <c r="R44" s="8">
        <f t="shared" si="20"/>
        <v>2</v>
      </c>
      <c r="S44" s="363">
        <f t="shared" si="20"/>
        <v>8.3333333333333329E-2</v>
      </c>
      <c r="T44" s="8">
        <f t="shared" si="20"/>
        <v>0</v>
      </c>
      <c r="U44" s="8">
        <f t="shared" si="20"/>
        <v>6</v>
      </c>
      <c r="V44" s="363">
        <f t="shared" si="20"/>
        <v>0.25</v>
      </c>
      <c r="W44" s="8">
        <f t="shared" si="20"/>
        <v>1</v>
      </c>
      <c r="X44" s="8">
        <f t="shared" si="2"/>
        <v>0</v>
      </c>
      <c r="AA44" s="8">
        <v>42</v>
      </c>
      <c r="AB44" s="8" t="str">
        <f>Idiomas!D243</f>
        <v>Uzbekistan</v>
      </c>
      <c r="AC44" s="365">
        <v>5</v>
      </c>
      <c r="AD44" s="363">
        <f t="shared" si="15"/>
        <v>0.20833333333333334</v>
      </c>
      <c r="AE44" s="8">
        <v>0</v>
      </c>
      <c r="AF44" s="8">
        <f t="shared" si="16"/>
        <v>9</v>
      </c>
      <c r="AG44" s="363">
        <f t="shared" si="17"/>
        <v>0.375</v>
      </c>
      <c r="AH44" s="8">
        <f t="shared" si="18"/>
        <v>1</v>
      </c>
      <c r="AI44" s="8">
        <f t="shared" si="7"/>
        <v>48</v>
      </c>
    </row>
    <row r="45" spans="1:35">
      <c r="A45" s="347">
        <v>46187.916666666657</v>
      </c>
      <c r="C45" s="347">
        <f t="shared" si="21"/>
        <v>46187.916666666657</v>
      </c>
      <c r="D45" s="347"/>
      <c r="P45" s="8">
        <v>43</v>
      </c>
      <c r="Q45" s="8" t="str">
        <f t="shared" si="0"/>
        <v>Switzerland</v>
      </c>
      <c r="R45" s="8">
        <f t="shared" si="20"/>
        <v>2</v>
      </c>
      <c r="S45" s="363">
        <f t="shared" si="20"/>
        <v>8.3333333333333329E-2</v>
      </c>
      <c r="T45" s="8">
        <f t="shared" si="20"/>
        <v>0</v>
      </c>
      <c r="U45" s="8">
        <f t="shared" si="20"/>
        <v>6</v>
      </c>
      <c r="V45" s="363">
        <f t="shared" si="20"/>
        <v>0.25</v>
      </c>
      <c r="W45" s="8">
        <f t="shared" si="20"/>
        <v>1</v>
      </c>
      <c r="X45" s="8">
        <f t="shared" si="2"/>
        <v>0</v>
      </c>
      <c r="AA45" s="8">
        <v>43</v>
      </c>
      <c r="AB45" s="8" t="str">
        <f>Idiomas!D244</f>
        <v>DR Congo</v>
      </c>
      <c r="AC45" s="8">
        <v>1</v>
      </c>
      <c r="AD45" s="363">
        <f t="shared" si="15"/>
        <v>4.1666666666666664E-2</v>
      </c>
      <c r="AE45" s="8">
        <v>0</v>
      </c>
      <c r="AF45" s="8">
        <f t="shared" si="16"/>
        <v>5</v>
      </c>
      <c r="AG45" s="363">
        <f t="shared" si="17"/>
        <v>0.20833333333333334</v>
      </c>
      <c r="AH45" s="8">
        <f t="shared" si="18"/>
        <v>1</v>
      </c>
      <c r="AI45" s="8">
        <f t="shared" si="7"/>
        <v>14</v>
      </c>
    </row>
    <row r="46" spans="1:35">
      <c r="A46" s="347">
        <v>46193.541666666657</v>
      </c>
      <c r="C46" s="347">
        <f t="shared" si="21"/>
        <v>46193.541666666657</v>
      </c>
      <c r="D46" s="347"/>
      <c r="P46" s="8">
        <v>44</v>
      </c>
      <c r="Q46" s="8" t="str">
        <f t="shared" si="0"/>
        <v>Tunisia</v>
      </c>
      <c r="R46" s="8">
        <f t="shared" si="20"/>
        <v>1</v>
      </c>
      <c r="S46" s="363">
        <f t="shared" si="20"/>
        <v>4.1666666666666664E-2</v>
      </c>
      <c r="T46" s="8">
        <f t="shared" si="20"/>
        <v>0</v>
      </c>
      <c r="U46" s="8">
        <f t="shared" si="20"/>
        <v>5</v>
      </c>
      <c r="V46" s="363">
        <f t="shared" si="20"/>
        <v>0.20833333333333334</v>
      </c>
      <c r="W46" s="8">
        <f t="shared" si="20"/>
        <v>1</v>
      </c>
      <c r="X46" s="8">
        <f t="shared" si="2"/>
        <v>0</v>
      </c>
      <c r="AA46" s="8">
        <v>44</v>
      </c>
      <c r="AB46" s="8" t="str">
        <f>Idiomas!D245</f>
        <v>Iraq</v>
      </c>
      <c r="AC46" s="8">
        <v>3</v>
      </c>
      <c r="AD46" s="363">
        <f t="shared" si="15"/>
        <v>0.125</v>
      </c>
      <c r="AE46" s="8">
        <v>0</v>
      </c>
      <c r="AF46" s="8">
        <f t="shared" si="16"/>
        <v>7</v>
      </c>
      <c r="AG46" s="363">
        <f t="shared" si="17"/>
        <v>0.29166666666666669</v>
      </c>
      <c r="AH46" s="8">
        <f t="shared" si="18"/>
        <v>1</v>
      </c>
      <c r="AI46" s="8">
        <f t="shared" si="7"/>
        <v>23</v>
      </c>
    </row>
    <row r="47" spans="1:35">
      <c r="A47" s="347">
        <v>46194</v>
      </c>
      <c r="C47" s="347">
        <f t="shared" si="21"/>
        <v>46194</v>
      </c>
      <c r="D47" s="347"/>
      <c r="P47" s="8">
        <v>45</v>
      </c>
      <c r="Q47" s="8" t="str">
        <f t="shared" si="0"/>
        <v>Turkey</v>
      </c>
      <c r="R47" s="8">
        <f t="shared" si="20"/>
        <v>3</v>
      </c>
      <c r="S47" s="363">
        <f t="shared" si="20"/>
        <v>0.125</v>
      </c>
      <c r="T47" s="8">
        <f t="shared" si="20"/>
        <v>0</v>
      </c>
      <c r="U47" s="8">
        <f t="shared" si="20"/>
        <v>7</v>
      </c>
      <c r="V47" s="363">
        <f t="shared" si="20"/>
        <v>0.29166666666666669</v>
      </c>
      <c r="W47" s="8">
        <f t="shared" si="20"/>
        <v>1</v>
      </c>
      <c r="X47" s="8">
        <f t="shared" si="2"/>
        <v>0</v>
      </c>
      <c r="AA47" s="8">
        <v>45</v>
      </c>
      <c r="AB47" s="8" t="str">
        <f>Idiomas!D246</f>
        <v>Bosnia and Herzegovina</v>
      </c>
      <c r="AC47" s="8">
        <v>2</v>
      </c>
      <c r="AD47" s="363">
        <f t="shared" si="15"/>
        <v>8.3333333333333329E-2</v>
      </c>
      <c r="AE47" s="8">
        <v>0</v>
      </c>
      <c r="AF47" s="8">
        <f t="shared" si="16"/>
        <v>6</v>
      </c>
      <c r="AG47" s="363">
        <f t="shared" si="17"/>
        <v>0.25</v>
      </c>
      <c r="AH47" s="8">
        <f t="shared" si="18"/>
        <v>1</v>
      </c>
      <c r="AI47" s="8">
        <f t="shared" si="7"/>
        <v>6</v>
      </c>
    </row>
    <row r="48" spans="1:35">
      <c r="A48" s="347">
        <v>46198.791666666657</v>
      </c>
      <c r="C48" s="347">
        <f t="shared" si="21"/>
        <v>46198.791666666657</v>
      </c>
      <c r="D48" s="347"/>
      <c r="P48" s="8">
        <v>46</v>
      </c>
      <c r="Q48" s="8" t="str">
        <f t="shared" si="0"/>
        <v>United States</v>
      </c>
      <c r="R48" s="8">
        <f t="shared" si="20"/>
        <v>-4</v>
      </c>
      <c r="S48" s="363">
        <f t="shared" si="20"/>
        <v>0.16666666666666666</v>
      </c>
      <c r="T48" s="8">
        <f t="shared" si="20"/>
        <v>1</v>
      </c>
      <c r="U48" s="8">
        <f t="shared" si="20"/>
        <v>0</v>
      </c>
      <c r="V48" s="363">
        <f t="shared" si="20"/>
        <v>0</v>
      </c>
      <c r="W48" s="8">
        <f t="shared" si="20"/>
        <v>0</v>
      </c>
      <c r="X48" s="8">
        <f t="shared" si="2"/>
        <v>1</v>
      </c>
      <c r="AA48" s="8">
        <v>46</v>
      </c>
      <c r="AB48" s="8" t="str">
        <f>Idiomas!D247</f>
        <v>Sweden</v>
      </c>
      <c r="AC48" s="8">
        <v>2</v>
      </c>
      <c r="AD48" s="363">
        <f t="shared" si="15"/>
        <v>8.3333333333333329E-2</v>
      </c>
      <c r="AE48" s="8">
        <v>0</v>
      </c>
      <c r="AF48" s="8">
        <f t="shared" si="16"/>
        <v>6</v>
      </c>
      <c r="AG48" s="363">
        <f t="shared" si="17"/>
        <v>0.25</v>
      </c>
      <c r="AH48" s="8">
        <f t="shared" si="18"/>
        <v>1</v>
      </c>
      <c r="AI48" s="8">
        <f t="shared" si="7"/>
        <v>42</v>
      </c>
    </row>
    <row r="49" spans="1:35">
      <c r="A49" s="347">
        <v>46198.791666666657</v>
      </c>
      <c r="C49" s="347">
        <f t="shared" si="21"/>
        <v>46198.791666666657</v>
      </c>
      <c r="D49" s="347"/>
      <c r="P49" s="8">
        <v>47</v>
      </c>
      <c r="Q49" s="8" t="str">
        <f t="shared" si="0"/>
        <v>Uruguay</v>
      </c>
      <c r="R49" s="8">
        <f t="shared" si="20"/>
        <v>-3</v>
      </c>
      <c r="S49" s="363">
        <f t="shared" si="20"/>
        <v>0.125</v>
      </c>
      <c r="T49" s="8">
        <f t="shared" si="20"/>
        <v>0</v>
      </c>
      <c r="U49" s="8">
        <f t="shared" si="20"/>
        <v>1</v>
      </c>
      <c r="V49" s="363">
        <f t="shared" si="20"/>
        <v>4.1666666666666664E-2</v>
      </c>
      <c r="W49" s="8">
        <f t="shared" si="20"/>
        <v>1</v>
      </c>
      <c r="X49" s="8">
        <f t="shared" si="2"/>
        <v>0</v>
      </c>
      <c r="AA49" s="8">
        <v>47</v>
      </c>
      <c r="AB49" s="8" t="str">
        <f>Idiomas!D248</f>
        <v>Turkey</v>
      </c>
      <c r="AC49" s="8">
        <v>3</v>
      </c>
      <c r="AD49" s="363">
        <f t="shared" si="15"/>
        <v>0.125</v>
      </c>
      <c r="AE49" s="8">
        <v>0</v>
      </c>
      <c r="AF49" s="8">
        <f t="shared" si="16"/>
        <v>7</v>
      </c>
      <c r="AG49" s="363">
        <f t="shared" si="17"/>
        <v>0.29166666666666669</v>
      </c>
      <c r="AH49" s="8">
        <f t="shared" si="18"/>
        <v>1</v>
      </c>
      <c r="AI49" s="8">
        <f t="shared" si="7"/>
        <v>45</v>
      </c>
    </row>
    <row r="50" spans="1:35">
      <c r="C50" s="347"/>
      <c r="P50" s="8">
        <v>48</v>
      </c>
      <c r="Q50" s="8" t="str">
        <f t="shared" si="0"/>
        <v>Uzbekistan</v>
      </c>
      <c r="R50" s="8">
        <f t="shared" si="20"/>
        <v>5</v>
      </c>
      <c r="S50" s="363">
        <f t="shared" si="20"/>
        <v>0.20833333333333334</v>
      </c>
      <c r="T50" s="8">
        <f t="shared" si="20"/>
        <v>0</v>
      </c>
      <c r="U50" s="8">
        <f t="shared" si="20"/>
        <v>9</v>
      </c>
      <c r="V50" s="363">
        <f t="shared" si="20"/>
        <v>0.375</v>
      </c>
      <c r="W50" s="8">
        <f t="shared" si="20"/>
        <v>1</v>
      </c>
      <c r="X50" s="8">
        <f t="shared" si="2"/>
        <v>0</v>
      </c>
      <c r="AA50" s="8">
        <v>48</v>
      </c>
      <c r="AB50" s="8" t="str">
        <f>Idiomas!D249</f>
        <v>Czech Republic</v>
      </c>
      <c r="AC50" s="8">
        <v>2</v>
      </c>
      <c r="AD50" s="363">
        <f t="shared" si="15"/>
        <v>8.3333333333333329E-2</v>
      </c>
      <c r="AE50" s="8">
        <v>0</v>
      </c>
      <c r="AF50" s="8">
        <f t="shared" si="16"/>
        <v>6</v>
      </c>
      <c r="AG50" s="363">
        <f t="shared" si="17"/>
        <v>0.25</v>
      </c>
      <c r="AH50" s="8">
        <f t="shared" si="18"/>
        <v>1</v>
      </c>
      <c r="AI50" s="8">
        <f t="shared" si="7"/>
        <v>13</v>
      </c>
    </row>
    <row r="51" spans="1:35">
      <c r="A51" s="5" t="s">
        <v>1465</v>
      </c>
      <c r="C51" s="347"/>
      <c r="P51" s="8">
        <v>49</v>
      </c>
      <c r="Q51" s="8" t="s">
        <v>1466</v>
      </c>
      <c r="R51" s="8">
        <f t="shared" ref="R51:V60" si="22">+INDEX($AC$3:$AH$86,MATCH($Q51,$AB$3:$AB$86,0),MATCH(R$2,$AC$2:$AH$2,0))</f>
        <v>-12</v>
      </c>
      <c r="S51" s="363">
        <f t="shared" si="22"/>
        <v>0.5</v>
      </c>
      <c r="T51" s="8">
        <f t="shared" si="22"/>
        <v>0</v>
      </c>
      <c r="U51" s="8">
        <f t="shared" si="22"/>
        <v>-8</v>
      </c>
      <c r="V51" s="363">
        <f t="shared" si="22"/>
        <v>0.33333333333333331</v>
      </c>
      <c r="W51" s="8">
        <f t="shared" ref="W51:W86" si="23">IF(R51&gt;$M$2,1,IF(R51=$M$2,0,-1))</f>
        <v>-1</v>
      </c>
      <c r="AA51" s="8">
        <v>49</v>
      </c>
      <c r="AB51" s="8" t="s">
        <v>1466</v>
      </c>
      <c r="AC51" s="8">
        <v>-12</v>
      </c>
      <c r="AD51" s="363">
        <f t="shared" si="15"/>
        <v>0.5</v>
      </c>
      <c r="AE51" s="8">
        <v>0</v>
      </c>
      <c r="AF51" s="8">
        <f t="shared" si="16"/>
        <v>-8</v>
      </c>
      <c r="AG51" s="363">
        <f t="shared" si="17"/>
        <v>0.33333333333333331</v>
      </c>
      <c r="AH51" s="8">
        <f t="shared" si="18"/>
        <v>-1</v>
      </c>
    </row>
    <row r="52" spans="1:35">
      <c r="A52" s="347">
        <v>46188.625</v>
      </c>
      <c r="C52" s="347">
        <f t="shared" ref="C52:C57" si="24">A52+INDEX($V$3:$V$86,MATCH($C$3,$P$3:$P$86,0))*INDEX($W$3:$W$86,MATCH($C$3,$P$3:$P$86,0))</f>
        <v>46188.625</v>
      </c>
      <c r="D52" s="347"/>
      <c r="P52" s="8">
        <v>50</v>
      </c>
      <c r="Q52" s="8" t="s">
        <v>1467</v>
      </c>
      <c r="R52" s="8">
        <f t="shared" si="22"/>
        <v>-11</v>
      </c>
      <c r="S52" s="363">
        <f t="shared" si="22"/>
        <v>0.45833333333333331</v>
      </c>
      <c r="T52" s="8">
        <f t="shared" si="22"/>
        <v>0</v>
      </c>
      <c r="U52" s="8">
        <f t="shared" si="22"/>
        <v>-7</v>
      </c>
      <c r="V52" s="363">
        <f t="shared" si="22"/>
        <v>0.29166666666666669</v>
      </c>
      <c r="W52" s="8">
        <f t="shared" si="23"/>
        <v>-1</v>
      </c>
      <c r="AA52" s="8">
        <v>50</v>
      </c>
      <c r="AB52" s="8" t="s">
        <v>1467</v>
      </c>
      <c r="AC52" s="8">
        <v>-11</v>
      </c>
      <c r="AD52" s="363">
        <f t="shared" si="15"/>
        <v>0.45833333333333331</v>
      </c>
      <c r="AE52" s="8">
        <v>0</v>
      </c>
      <c r="AF52" s="8">
        <f t="shared" si="16"/>
        <v>-7</v>
      </c>
      <c r="AG52" s="363">
        <f t="shared" si="17"/>
        <v>0.29166666666666669</v>
      </c>
      <c r="AH52" s="8">
        <f t="shared" si="18"/>
        <v>-1</v>
      </c>
    </row>
    <row r="53" spans="1:35">
      <c r="A53" s="347">
        <v>46188.875</v>
      </c>
      <c r="C53" s="347">
        <f t="shared" si="24"/>
        <v>46188.875</v>
      </c>
      <c r="D53" s="347"/>
      <c r="P53" s="8">
        <v>51</v>
      </c>
      <c r="Q53" s="8" t="s">
        <v>1468</v>
      </c>
      <c r="R53" s="8">
        <f t="shared" si="22"/>
        <v>-10</v>
      </c>
      <c r="S53" s="363">
        <f t="shared" si="22"/>
        <v>0.41666666666666669</v>
      </c>
      <c r="T53" s="8">
        <f t="shared" si="22"/>
        <v>0</v>
      </c>
      <c r="U53" s="8">
        <f t="shared" si="22"/>
        <v>-6</v>
      </c>
      <c r="V53" s="363">
        <f t="shared" si="22"/>
        <v>0.25</v>
      </c>
      <c r="W53" s="8">
        <f t="shared" si="23"/>
        <v>-1</v>
      </c>
      <c r="AA53" s="8">
        <v>51</v>
      </c>
      <c r="AB53" s="8" t="s">
        <v>1468</v>
      </c>
      <c r="AC53" s="8">
        <v>-10</v>
      </c>
      <c r="AD53" s="363">
        <f t="shared" si="15"/>
        <v>0.41666666666666669</v>
      </c>
      <c r="AE53" s="8">
        <v>0</v>
      </c>
      <c r="AF53" s="8">
        <f t="shared" si="16"/>
        <v>-6</v>
      </c>
      <c r="AG53" s="363">
        <f t="shared" si="17"/>
        <v>0.25</v>
      </c>
      <c r="AH53" s="8">
        <f t="shared" si="18"/>
        <v>-1</v>
      </c>
    </row>
    <row r="54" spans="1:35">
      <c r="A54" s="347">
        <v>46194.625</v>
      </c>
      <c r="C54" s="347">
        <f t="shared" si="24"/>
        <v>46194.625</v>
      </c>
      <c r="D54" s="347"/>
      <c r="P54" s="8">
        <v>52</v>
      </c>
      <c r="Q54" s="8" t="s">
        <v>1469</v>
      </c>
      <c r="R54" s="8">
        <f t="shared" si="22"/>
        <v>-9</v>
      </c>
      <c r="S54" s="363">
        <f t="shared" si="22"/>
        <v>0.375</v>
      </c>
      <c r="T54" s="8">
        <f t="shared" si="22"/>
        <v>0</v>
      </c>
      <c r="U54" s="8">
        <f t="shared" si="22"/>
        <v>-5</v>
      </c>
      <c r="V54" s="363">
        <f t="shared" si="22"/>
        <v>0.20833333333333334</v>
      </c>
      <c r="W54" s="8">
        <f t="shared" si="23"/>
        <v>-1</v>
      </c>
      <c r="AA54" s="8">
        <v>52</v>
      </c>
      <c r="AB54" s="8" t="s">
        <v>1469</v>
      </c>
      <c r="AC54" s="8">
        <v>-9</v>
      </c>
      <c r="AD54" s="363">
        <f t="shared" si="15"/>
        <v>0.375</v>
      </c>
      <c r="AE54" s="8">
        <v>0</v>
      </c>
      <c r="AF54" s="8">
        <f t="shared" si="16"/>
        <v>-5</v>
      </c>
      <c r="AG54" s="363">
        <f t="shared" si="17"/>
        <v>0.20833333333333334</v>
      </c>
      <c r="AH54" s="8">
        <f t="shared" si="18"/>
        <v>-1</v>
      </c>
    </row>
    <row r="55" spans="1:35">
      <c r="A55" s="347">
        <v>46194.875</v>
      </c>
      <c r="C55" s="347">
        <f t="shared" si="24"/>
        <v>46194.875</v>
      </c>
      <c r="D55" s="347"/>
      <c r="P55" s="8">
        <v>53</v>
      </c>
      <c r="Q55" s="8" t="s">
        <v>1470</v>
      </c>
      <c r="R55" s="8">
        <f t="shared" si="22"/>
        <v>-8</v>
      </c>
      <c r="S55" s="363">
        <f t="shared" si="22"/>
        <v>0.33333333333333331</v>
      </c>
      <c r="T55" s="8">
        <f t="shared" si="22"/>
        <v>0</v>
      </c>
      <c r="U55" s="8">
        <f t="shared" si="22"/>
        <v>-4</v>
      </c>
      <c r="V55" s="363">
        <f t="shared" si="22"/>
        <v>0.16666666666666666</v>
      </c>
      <c r="W55" s="8">
        <f t="shared" si="23"/>
        <v>-1</v>
      </c>
      <c r="AA55" s="8">
        <v>53</v>
      </c>
      <c r="AB55" s="8" t="s">
        <v>1470</v>
      </c>
      <c r="AC55" s="8">
        <v>-8</v>
      </c>
      <c r="AD55" s="363">
        <f t="shared" si="15"/>
        <v>0.33333333333333331</v>
      </c>
      <c r="AE55" s="8">
        <v>0</v>
      </c>
      <c r="AF55" s="8">
        <f t="shared" si="16"/>
        <v>-4</v>
      </c>
      <c r="AG55" s="363">
        <f t="shared" si="17"/>
        <v>0.16666666666666666</v>
      </c>
      <c r="AH55" s="8">
        <f t="shared" si="18"/>
        <v>-1</v>
      </c>
    </row>
    <row r="56" spans="1:35">
      <c r="A56" s="347">
        <v>46199.958333333343</v>
      </c>
      <c r="C56" s="347">
        <f t="shared" si="24"/>
        <v>46199.958333333343</v>
      </c>
      <c r="D56" s="347"/>
      <c r="P56" s="8">
        <v>54</v>
      </c>
      <c r="Q56" s="8" t="s">
        <v>1471</v>
      </c>
      <c r="R56" s="8">
        <f t="shared" si="22"/>
        <v>-7</v>
      </c>
      <c r="S56" s="363">
        <f t="shared" si="22"/>
        <v>0.29166666666666669</v>
      </c>
      <c r="T56" s="8">
        <f t="shared" si="22"/>
        <v>0</v>
      </c>
      <c r="U56" s="8">
        <f t="shared" si="22"/>
        <v>-3</v>
      </c>
      <c r="V56" s="363">
        <f t="shared" si="22"/>
        <v>0.125</v>
      </c>
      <c r="W56" s="8">
        <f t="shared" si="23"/>
        <v>-1</v>
      </c>
      <c r="AA56" s="8">
        <v>54</v>
      </c>
      <c r="AB56" s="8" t="s">
        <v>1471</v>
      </c>
      <c r="AC56" s="8">
        <v>-7</v>
      </c>
      <c r="AD56" s="363">
        <f t="shared" si="15"/>
        <v>0.29166666666666669</v>
      </c>
      <c r="AE56" s="8">
        <v>0</v>
      </c>
      <c r="AF56" s="8">
        <f t="shared" si="16"/>
        <v>-3</v>
      </c>
      <c r="AG56" s="363">
        <f t="shared" si="17"/>
        <v>0.125</v>
      </c>
      <c r="AH56" s="8">
        <f t="shared" si="18"/>
        <v>-1</v>
      </c>
    </row>
    <row r="57" spans="1:35">
      <c r="A57" s="347">
        <v>46199.958333333343</v>
      </c>
      <c r="C57" s="347">
        <f t="shared" si="24"/>
        <v>46199.958333333343</v>
      </c>
      <c r="D57" s="347"/>
      <c r="P57" s="8">
        <v>55</v>
      </c>
      <c r="Q57" s="8" t="s">
        <v>1472</v>
      </c>
      <c r="R57" s="8">
        <f t="shared" si="22"/>
        <v>-6</v>
      </c>
      <c r="S57" s="363">
        <f t="shared" si="22"/>
        <v>0.25</v>
      </c>
      <c r="T57" s="8">
        <f t="shared" si="22"/>
        <v>0</v>
      </c>
      <c r="U57" s="8">
        <f t="shared" si="22"/>
        <v>-2</v>
      </c>
      <c r="V57" s="363">
        <f t="shared" si="22"/>
        <v>8.3333333333333329E-2</v>
      </c>
      <c r="W57" s="8">
        <f t="shared" si="23"/>
        <v>-1</v>
      </c>
      <c r="AA57" s="8">
        <v>55</v>
      </c>
      <c r="AB57" s="8" t="s">
        <v>1472</v>
      </c>
      <c r="AC57" s="8">
        <v>-6</v>
      </c>
      <c r="AD57" s="363">
        <f t="shared" si="15"/>
        <v>0.25</v>
      </c>
      <c r="AE57" s="8">
        <v>0</v>
      </c>
      <c r="AF57" s="8">
        <f t="shared" si="16"/>
        <v>-2</v>
      </c>
      <c r="AG57" s="363">
        <f t="shared" si="17"/>
        <v>8.3333333333333329E-2</v>
      </c>
      <c r="AH57" s="8">
        <f t="shared" si="18"/>
        <v>-1</v>
      </c>
    </row>
    <row r="58" spans="1:35">
      <c r="C58" s="347"/>
      <c r="P58" s="8">
        <v>56</v>
      </c>
      <c r="Q58" s="8" t="s">
        <v>1473</v>
      </c>
      <c r="R58" s="8">
        <f t="shared" si="22"/>
        <v>-5</v>
      </c>
      <c r="S58" s="363">
        <f t="shared" si="22"/>
        <v>0.20833333333333334</v>
      </c>
      <c r="T58" s="8">
        <f t="shared" si="22"/>
        <v>0</v>
      </c>
      <c r="U58" s="8">
        <f t="shared" si="22"/>
        <v>-1</v>
      </c>
      <c r="V58" s="363">
        <f t="shared" si="22"/>
        <v>4.1666666666666664E-2</v>
      </c>
      <c r="W58" s="8">
        <f t="shared" si="23"/>
        <v>-1</v>
      </c>
      <c r="AA58" s="8">
        <v>56</v>
      </c>
      <c r="AB58" s="8" t="s">
        <v>1473</v>
      </c>
      <c r="AC58" s="8">
        <v>-5</v>
      </c>
      <c r="AD58" s="363">
        <f t="shared" si="15"/>
        <v>0.20833333333333334</v>
      </c>
      <c r="AE58" s="8">
        <v>0</v>
      </c>
      <c r="AF58" s="8">
        <f t="shared" si="16"/>
        <v>-1</v>
      </c>
      <c r="AG58" s="363">
        <f t="shared" si="17"/>
        <v>4.1666666666666664E-2</v>
      </c>
      <c r="AH58" s="8">
        <f t="shared" si="18"/>
        <v>-1</v>
      </c>
    </row>
    <row r="59" spans="1:35">
      <c r="A59" s="5" t="s">
        <v>1474</v>
      </c>
      <c r="C59" s="347"/>
      <c r="P59" s="8">
        <v>57</v>
      </c>
      <c r="Q59" s="8" t="s">
        <v>1475</v>
      </c>
      <c r="R59" s="8">
        <f t="shared" si="22"/>
        <v>-4</v>
      </c>
      <c r="S59" s="363">
        <f t="shared" si="22"/>
        <v>0.16666666666666666</v>
      </c>
      <c r="T59" s="8">
        <f t="shared" si="22"/>
        <v>0</v>
      </c>
      <c r="U59" s="8">
        <f t="shared" si="22"/>
        <v>0</v>
      </c>
      <c r="V59" s="363">
        <f t="shared" si="22"/>
        <v>0</v>
      </c>
      <c r="W59" s="8">
        <f t="shared" si="23"/>
        <v>0</v>
      </c>
      <c r="AA59" s="8">
        <v>57</v>
      </c>
      <c r="AB59" s="8" t="s">
        <v>1475</v>
      </c>
      <c r="AC59" s="8">
        <v>-4</v>
      </c>
      <c r="AD59" s="363">
        <f t="shared" si="15"/>
        <v>0.16666666666666666</v>
      </c>
      <c r="AE59" s="8">
        <v>0</v>
      </c>
      <c r="AF59" s="8">
        <f t="shared" si="16"/>
        <v>0</v>
      </c>
      <c r="AG59" s="363">
        <f t="shared" si="17"/>
        <v>0</v>
      </c>
      <c r="AH59" s="8">
        <f t="shared" si="18"/>
        <v>0</v>
      </c>
    </row>
    <row r="60" spans="1:35">
      <c r="A60" s="347">
        <v>46188.5</v>
      </c>
      <c r="C60" s="347">
        <f t="shared" ref="C60:C65" si="25">A60+INDEX($V$3:$V$86,MATCH($C$3,$P$3:$P$86,0))*INDEX($W$3:$W$86,MATCH($C$3,$P$3:$P$86,0))</f>
        <v>46188.5</v>
      </c>
      <c r="D60" s="347"/>
      <c r="P60" s="8">
        <v>58</v>
      </c>
      <c r="Q60" s="8" t="s">
        <v>1476</v>
      </c>
      <c r="R60" s="8">
        <f t="shared" si="22"/>
        <v>-3.5</v>
      </c>
      <c r="S60" s="363">
        <f t="shared" si="22"/>
        <v>0.14583333333333334</v>
      </c>
      <c r="T60" s="8">
        <f t="shared" si="22"/>
        <v>0</v>
      </c>
      <c r="U60" s="8">
        <f t="shared" si="22"/>
        <v>0.5</v>
      </c>
      <c r="V60" s="363">
        <f t="shared" si="22"/>
        <v>2.0833333333333332E-2</v>
      </c>
      <c r="W60" s="8">
        <f t="shared" si="23"/>
        <v>1</v>
      </c>
      <c r="AA60" s="8">
        <v>58</v>
      </c>
      <c r="AB60" s="8" t="s">
        <v>1476</v>
      </c>
      <c r="AC60" s="8">
        <v>-3.5</v>
      </c>
      <c r="AD60" s="363">
        <f t="shared" si="15"/>
        <v>0.14583333333333334</v>
      </c>
      <c r="AE60" s="8">
        <v>0</v>
      </c>
      <c r="AF60" s="8">
        <f t="shared" si="16"/>
        <v>0.5</v>
      </c>
      <c r="AG60" s="363">
        <f t="shared" si="17"/>
        <v>2.0833333333333332E-2</v>
      </c>
      <c r="AH60" s="8">
        <f t="shared" si="18"/>
        <v>1</v>
      </c>
    </row>
    <row r="61" spans="1:35">
      <c r="A61" s="347">
        <v>46188.75</v>
      </c>
      <c r="C61" s="347">
        <f t="shared" si="25"/>
        <v>46188.75</v>
      </c>
      <c r="D61" s="347"/>
      <c r="P61" s="8">
        <v>59</v>
      </c>
      <c r="Q61" s="8" t="s">
        <v>1477</v>
      </c>
      <c r="R61" s="8">
        <f t="shared" ref="R61:V70" si="26">+INDEX($AC$3:$AH$86,MATCH($Q61,$AB$3:$AB$86,0),MATCH(R$2,$AC$2:$AH$2,0))</f>
        <v>-3</v>
      </c>
      <c r="S61" s="363">
        <f t="shared" si="26"/>
        <v>0.125</v>
      </c>
      <c r="T61" s="8">
        <f t="shared" si="26"/>
        <v>0</v>
      </c>
      <c r="U61" s="8">
        <f t="shared" si="26"/>
        <v>1</v>
      </c>
      <c r="V61" s="363">
        <f t="shared" si="26"/>
        <v>4.1666666666666664E-2</v>
      </c>
      <c r="W61" s="8">
        <f t="shared" si="23"/>
        <v>1</v>
      </c>
      <c r="AA61" s="8">
        <v>59</v>
      </c>
      <c r="AB61" s="8" t="s">
        <v>1477</v>
      </c>
      <c r="AC61" s="8">
        <v>-3</v>
      </c>
      <c r="AD61" s="363">
        <f t="shared" si="15"/>
        <v>0.125</v>
      </c>
      <c r="AE61" s="8">
        <v>0</v>
      </c>
      <c r="AF61" s="8">
        <f t="shared" si="16"/>
        <v>1</v>
      </c>
      <c r="AG61" s="363">
        <f t="shared" si="17"/>
        <v>4.1666666666666664E-2</v>
      </c>
      <c r="AH61" s="8">
        <f t="shared" si="18"/>
        <v>1</v>
      </c>
    </row>
    <row r="62" spans="1:35">
      <c r="A62" s="347">
        <v>46194.5</v>
      </c>
      <c r="C62" s="347">
        <f t="shared" si="25"/>
        <v>46194.5</v>
      </c>
      <c r="D62" s="347"/>
      <c r="P62" s="8">
        <v>60</v>
      </c>
      <c r="Q62" s="8" t="s">
        <v>1478</v>
      </c>
      <c r="R62" s="8">
        <f t="shared" si="26"/>
        <v>-2</v>
      </c>
      <c r="S62" s="363">
        <f t="shared" si="26"/>
        <v>8.3333333333333329E-2</v>
      </c>
      <c r="T62" s="8">
        <f t="shared" si="26"/>
        <v>0</v>
      </c>
      <c r="U62" s="8">
        <f t="shared" si="26"/>
        <v>2</v>
      </c>
      <c r="V62" s="363">
        <f t="shared" si="26"/>
        <v>8.3333333333333329E-2</v>
      </c>
      <c r="W62" s="8">
        <f t="shared" si="23"/>
        <v>1</v>
      </c>
      <c r="AA62" s="8">
        <v>60</v>
      </c>
      <c r="AB62" s="8" t="s">
        <v>1478</v>
      </c>
      <c r="AC62" s="8">
        <v>-2</v>
      </c>
      <c r="AD62" s="363">
        <f t="shared" si="15"/>
        <v>8.3333333333333329E-2</v>
      </c>
      <c r="AE62" s="8">
        <v>0</v>
      </c>
      <c r="AF62" s="8">
        <f t="shared" si="16"/>
        <v>2</v>
      </c>
      <c r="AG62" s="363">
        <f t="shared" si="17"/>
        <v>8.3333333333333329E-2</v>
      </c>
      <c r="AH62" s="8">
        <f t="shared" si="18"/>
        <v>1</v>
      </c>
    </row>
    <row r="63" spans="1:35">
      <c r="A63" s="347">
        <v>46194.75</v>
      </c>
      <c r="C63" s="347">
        <f t="shared" si="25"/>
        <v>46194.75</v>
      </c>
      <c r="D63" s="347"/>
      <c r="P63" s="8">
        <v>61</v>
      </c>
      <c r="Q63" s="8" t="s">
        <v>1479</v>
      </c>
      <c r="R63" s="8">
        <f t="shared" si="26"/>
        <v>-1</v>
      </c>
      <c r="S63" s="363">
        <f t="shared" si="26"/>
        <v>4.1666666666666664E-2</v>
      </c>
      <c r="T63" s="8">
        <f t="shared" si="26"/>
        <v>0</v>
      </c>
      <c r="U63" s="8">
        <f t="shared" si="26"/>
        <v>3</v>
      </c>
      <c r="V63" s="363">
        <f t="shared" si="26"/>
        <v>0.125</v>
      </c>
      <c r="W63" s="8">
        <f t="shared" si="23"/>
        <v>1</v>
      </c>
      <c r="AA63" s="8">
        <v>61</v>
      </c>
      <c r="AB63" s="8" t="s">
        <v>1479</v>
      </c>
      <c r="AC63" s="8">
        <v>-1</v>
      </c>
      <c r="AD63" s="363">
        <f t="shared" si="15"/>
        <v>4.1666666666666664E-2</v>
      </c>
      <c r="AE63" s="8">
        <v>0</v>
      </c>
      <c r="AF63" s="8">
        <f t="shared" si="16"/>
        <v>3</v>
      </c>
      <c r="AG63" s="363">
        <f t="shared" si="17"/>
        <v>0.125</v>
      </c>
      <c r="AH63" s="8">
        <f t="shared" si="18"/>
        <v>1</v>
      </c>
    </row>
    <row r="64" spans="1:35">
      <c r="A64" s="347">
        <v>46199.833333333343</v>
      </c>
      <c r="C64" s="347">
        <f t="shared" si="25"/>
        <v>46199.833333333343</v>
      </c>
      <c r="D64" s="347"/>
      <c r="P64" s="8">
        <v>62</v>
      </c>
      <c r="Q64" s="8" t="s">
        <v>1451</v>
      </c>
      <c r="R64" s="8">
        <f t="shared" si="26"/>
        <v>0</v>
      </c>
      <c r="S64" s="363">
        <f t="shared" si="26"/>
        <v>0</v>
      </c>
      <c r="T64" s="8">
        <f t="shared" si="26"/>
        <v>0</v>
      </c>
      <c r="U64" s="8">
        <f t="shared" si="26"/>
        <v>4</v>
      </c>
      <c r="V64" s="363">
        <f t="shared" si="26"/>
        <v>0.16666666666666666</v>
      </c>
      <c r="W64" s="8">
        <f t="shared" si="23"/>
        <v>1</v>
      </c>
      <c r="AA64" s="8">
        <v>62</v>
      </c>
      <c r="AB64" s="8" t="s">
        <v>1451</v>
      </c>
      <c r="AC64" s="8">
        <v>0</v>
      </c>
      <c r="AD64" s="363">
        <f t="shared" si="15"/>
        <v>0</v>
      </c>
      <c r="AE64" s="8">
        <v>0</v>
      </c>
      <c r="AF64" s="8">
        <f t="shared" si="16"/>
        <v>4</v>
      </c>
      <c r="AG64" s="363">
        <f t="shared" si="17"/>
        <v>0.16666666666666666</v>
      </c>
      <c r="AH64" s="8">
        <f t="shared" si="18"/>
        <v>1</v>
      </c>
    </row>
    <row r="65" spans="1:34">
      <c r="A65" s="347">
        <v>46199.833333333343</v>
      </c>
      <c r="C65" s="347">
        <f t="shared" si="25"/>
        <v>46199.833333333343</v>
      </c>
      <c r="D65" s="347"/>
      <c r="P65" s="8">
        <v>63</v>
      </c>
      <c r="Q65" s="8" t="s">
        <v>1480</v>
      </c>
      <c r="R65" s="8">
        <f t="shared" si="26"/>
        <v>1</v>
      </c>
      <c r="S65" s="363">
        <f t="shared" si="26"/>
        <v>4.1666666666666664E-2</v>
      </c>
      <c r="T65" s="8">
        <f t="shared" si="26"/>
        <v>0</v>
      </c>
      <c r="U65" s="8">
        <f t="shared" si="26"/>
        <v>5</v>
      </c>
      <c r="V65" s="363">
        <f t="shared" si="26"/>
        <v>0.20833333333333334</v>
      </c>
      <c r="W65" s="8">
        <f t="shared" si="23"/>
        <v>1</v>
      </c>
      <c r="AA65" s="8">
        <v>63</v>
      </c>
      <c r="AB65" s="8" t="s">
        <v>1480</v>
      </c>
      <c r="AC65" s="8">
        <v>1</v>
      </c>
      <c r="AD65" s="363">
        <f t="shared" si="15"/>
        <v>4.1666666666666664E-2</v>
      </c>
      <c r="AE65" s="8">
        <v>0</v>
      </c>
      <c r="AF65" s="8">
        <f t="shared" si="16"/>
        <v>5</v>
      </c>
      <c r="AG65" s="363">
        <f t="shared" si="17"/>
        <v>0.20833333333333334</v>
      </c>
      <c r="AH65" s="8">
        <f t="shared" si="18"/>
        <v>1</v>
      </c>
    </row>
    <row r="66" spans="1:34">
      <c r="C66" s="347"/>
      <c r="P66" s="8">
        <v>64</v>
      </c>
      <c r="Q66" s="8" t="s">
        <v>1481</v>
      </c>
      <c r="R66" s="8">
        <f t="shared" si="26"/>
        <v>2</v>
      </c>
      <c r="S66" s="363">
        <f t="shared" si="26"/>
        <v>8.3333333333333329E-2</v>
      </c>
      <c r="T66" s="8">
        <f t="shared" si="26"/>
        <v>0</v>
      </c>
      <c r="U66" s="8">
        <f t="shared" si="26"/>
        <v>6</v>
      </c>
      <c r="V66" s="363">
        <f t="shared" si="26"/>
        <v>0.25</v>
      </c>
      <c r="W66" s="8">
        <f t="shared" si="23"/>
        <v>1</v>
      </c>
      <c r="AA66" s="8">
        <v>64</v>
      </c>
      <c r="AB66" s="8" t="s">
        <v>1481</v>
      </c>
      <c r="AC66" s="8">
        <v>2</v>
      </c>
      <c r="AD66" s="363">
        <f t="shared" si="15"/>
        <v>8.3333333333333329E-2</v>
      </c>
      <c r="AE66" s="8">
        <v>0</v>
      </c>
      <c r="AF66" s="8">
        <f t="shared" si="16"/>
        <v>6</v>
      </c>
      <c r="AG66" s="363">
        <f t="shared" si="17"/>
        <v>0.25</v>
      </c>
      <c r="AH66" s="8">
        <f t="shared" si="18"/>
        <v>1</v>
      </c>
    </row>
    <row r="67" spans="1:34">
      <c r="A67" s="5" t="s">
        <v>1482</v>
      </c>
      <c r="C67" s="347"/>
      <c r="P67" s="8">
        <v>65</v>
      </c>
      <c r="Q67" s="8" t="s">
        <v>1483</v>
      </c>
      <c r="R67" s="8">
        <f t="shared" si="26"/>
        <v>3</v>
      </c>
      <c r="S67" s="363">
        <f t="shared" si="26"/>
        <v>0.125</v>
      </c>
      <c r="T67" s="8">
        <f t="shared" si="26"/>
        <v>0</v>
      </c>
      <c r="U67" s="8">
        <f t="shared" si="26"/>
        <v>7</v>
      </c>
      <c r="V67" s="363">
        <f t="shared" si="26"/>
        <v>0.29166666666666669</v>
      </c>
      <c r="W67" s="8">
        <f t="shared" si="23"/>
        <v>1</v>
      </c>
      <c r="AA67" s="8">
        <v>65</v>
      </c>
      <c r="AB67" s="8" t="s">
        <v>1483</v>
      </c>
      <c r="AC67" s="8">
        <v>3</v>
      </c>
      <c r="AD67" s="363">
        <f t="shared" ref="AD67:AD86" si="27">ABS(AC67/24)</f>
        <v>0.125</v>
      </c>
      <c r="AE67" s="8">
        <v>0</v>
      </c>
      <c r="AF67" s="8">
        <f t="shared" ref="AF67:AF86" si="28">AC67-$M$2</f>
        <v>7</v>
      </c>
      <c r="AG67" s="363">
        <f t="shared" ref="AG67:AG86" si="29">ABS(AF67/24)</f>
        <v>0.29166666666666669</v>
      </c>
      <c r="AH67" s="8">
        <f t="shared" ref="AH67:AH86" si="30">IF(AC67&gt;$M$2,1,IF(AC67=$M$2,0,-1))</f>
        <v>1</v>
      </c>
    </row>
    <row r="68" spans="1:34">
      <c r="A68" s="347">
        <v>46189.625</v>
      </c>
      <c r="C68" s="347">
        <f t="shared" ref="C68:C73" si="31">A68+INDEX($V$3:$V$86,MATCH($C$3,$P$3:$P$86,0))*INDEX($W$3:$W$86,MATCH($C$3,$P$3:$P$86,0))</f>
        <v>46189.625</v>
      </c>
      <c r="D68" s="347"/>
      <c r="P68" s="8">
        <v>66</v>
      </c>
      <c r="Q68" s="8" t="s">
        <v>1484</v>
      </c>
      <c r="R68" s="8">
        <f t="shared" si="26"/>
        <v>3.5</v>
      </c>
      <c r="S68" s="363">
        <f t="shared" si="26"/>
        <v>0.14583333333333334</v>
      </c>
      <c r="T68" s="8">
        <f t="shared" si="26"/>
        <v>0</v>
      </c>
      <c r="U68" s="8">
        <f t="shared" si="26"/>
        <v>7.5</v>
      </c>
      <c r="V68" s="363">
        <f t="shared" si="26"/>
        <v>0.3125</v>
      </c>
      <c r="W68" s="8">
        <f t="shared" si="23"/>
        <v>1</v>
      </c>
      <c r="AA68" s="8">
        <v>66</v>
      </c>
      <c r="AB68" s="8" t="s">
        <v>1484</v>
      </c>
      <c r="AC68" s="8">
        <v>3.5</v>
      </c>
      <c r="AD68" s="363">
        <f t="shared" si="27"/>
        <v>0.14583333333333334</v>
      </c>
      <c r="AE68" s="8">
        <v>0</v>
      </c>
      <c r="AF68" s="8">
        <f t="shared" si="28"/>
        <v>7.5</v>
      </c>
      <c r="AG68" s="363">
        <f t="shared" si="29"/>
        <v>0.3125</v>
      </c>
      <c r="AH68" s="8">
        <f t="shared" si="30"/>
        <v>1</v>
      </c>
    </row>
    <row r="69" spans="1:34">
      <c r="A69" s="347">
        <v>46189.75</v>
      </c>
      <c r="C69" s="347">
        <f t="shared" si="31"/>
        <v>46189.75</v>
      </c>
      <c r="D69" s="347"/>
      <c r="P69" s="8">
        <v>67</v>
      </c>
      <c r="Q69" s="8" t="s">
        <v>1485</v>
      </c>
      <c r="R69" s="8">
        <f t="shared" si="26"/>
        <v>4</v>
      </c>
      <c r="S69" s="363">
        <f t="shared" si="26"/>
        <v>0.16666666666666666</v>
      </c>
      <c r="T69" s="8">
        <f t="shared" si="26"/>
        <v>0</v>
      </c>
      <c r="U69" s="8">
        <f t="shared" si="26"/>
        <v>8</v>
      </c>
      <c r="V69" s="363">
        <f t="shared" si="26"/>
        <v>0.33333333333333331</v>
      </c>
      <c r="W69" s="8">
        <f t="shared" si="23"/>
        <v>1</v>
      </c>
      <c r="AA69" s="8">
        <v>67</v>
      </c>
      <c r="AB69" s="8" t="s">
        <v>1485</v>
      </c>
      <c r="AC69" s="8">
        <v>4</v>
      </c>
      <c r="AD69" s="363">
        <f t="shared" si="27"/>
        <v>0.16666666666666666</v>
      </c>
      <c r="AE69" s="8">
        <v>0</v>
      </c>
      <c r="AF69" s="8">
        <f t="shared" si="28"/>
        <v>8</v>
      </c>
      <c r="AG69" s="363">
        <f t="shared" si="29"/>
        <v>0.33333333333333331</v>
      </c>
      <c r="AH69" s="8">
        <f t="shared" si="30"/>
        <v>1</v>
      </c>
    </row>
    <row r="70" spans="1:34">
      <c r="A70" s="347">
        <v>46195.708333333343</v>
      </c>
      <c r="C70" s="347">
        <f t="shared" si="31"/>
        <v>46195.708333333343</v>
      </c>
      <c r="D70" s="347"/>
      <c r="P70" s="8">
        <v>68</v>
      </c>
      <c r="Q70" s="8" t="s">
        <v>1486</v>
      </c>
      <c r="R70" s="8">
        <f t="shared" si="26"/>
        <v>4.5</v>
      </c>
      <c r="S70" s="363">
        <f t="shared" si="26"/>
        <v>0.1875</v>
      </c>
      <c r="T70" s="8">
        <f t="shared" si="26"/>
        <v>0</v>
      </c>
      <c r="U70" s="8">
        <f t="shared" si="26"/>
        <v>8.5</v>
      </c>
      <c r="V70" s="363">
        <f t="shared" si="26"/>
        <v>0.35416666666666669</v>
      </c>
      <c r="W70" s="8">
        <f t="shared" si="23"/>
        <v>1</v>
      </c>
      <c r="AA70" s="8">
        <v>68</v>
      </c>
      <c r="AB70" s="8" t="s">
        <v>1486</v>
      </c>
      <c r="AC70" s="8">
        <v>4.5</v>
      </c>
      <c r="AD70" s="363">
        <f t="shared" si="27"/>
        <v>0.1875</v>
      </c>
      <c r="AE70" s="8">
        <v>0</v>
      </c>
      <c r="AF70" s="8">
        <f t="shared" si="28"/>
        <v>8.5</v>
      </c>
      <c r="AG70" s="363">
        <f t="shared" si="29"/>
        <v>0.35416666666666669</v>
      </c>
      <c r="AH70" s="8">
        <f t="shared" si="30"/>
        <v>1</v>
      </c>
    </row>
    <row r="71" spans="1:34">
      <c r="A71" s="347">
        <v>46195.833333333343</v>
      </c>
      <c r="C71" s="347">
        <f t="shared" si="31"/>
        <v>46195.833333333343</v>
      </c>
      <c r="D71" s="347"/>
      <c r="P71" s="8">
        <v>69</v>
      </c>
      <c r="Q71" s="8" t="s">
        <v>1487</v>
      </c>
      <c r="R71" s="8">
        <f t="shared" ref="R71:V80" si="32">+INDEX($AC$3:$AH$86,MATCH($Q71,$AB$3:$AB$86,0),MATCH(R$2,$AC$2:$AH$2,0))</f>
        <v>5</v>
      </c>
      <c r="S71" s="363">
        <f t="shared" si="32"/>
        <v>0.20833333333333334</v>
      </c>
      <c r="T71" s="8">
        <f t="shared" si="32"/>
        <v>0</v>
      </c>
      <c r="U71" s="8">
        <f t="shared" si="32"/>
        <v>9</v>
      </c>
      <c r="V71" s="363">
        <f t="shared" si="32"/>
        <v>0.375</v>
      </c>
      <c r="W71" s="8">
        <f t="shared" si="23"/>
        <v>1</v>
      </c>
      <c r="AA71" s="8">
        <v>69</v>
      </c>
      <c r="AB71" s="8" t="s">
        <v>1487</v>
      </c>
      <c r="AC71" s="8">
        <v>5</v>
      </c>
      <c r="AD71" s="363">
        <f t="shared" si="27"/>
        <v>0.20833333333333334</v>
      </c>
      <c r="AE71" s="8">
        <v>0</v>
      </c>
      <c r="AF71" s="8">
        <f t="shared" si="28"/>
        <v>9</v>
      </c>
      <c r="AG71" s="363">
        <f t="shared" si="29"/>
        <v>0.375</v>
      </c>
      <c r="AH71" s="8">
        <f t="shared" si="30"/>
        <v>1</v>
      </c>
    </row>
    <row r="72" spans="1:34">
      <c r="A72" s="347">
        <v>46199.625</v>
      </c>
      <c r="C72" s="347">
        <f t="shared" si="31"/>
        <v>46199.625</v>
      </c>
      <c r="D72" s="347"/>
      <c r="P72" s="8">
        <v>70</v>
      </c>
      <c r="Q72" s="8" t="s">
        <v>1488</v>
      </c>
      <c r="R72" s="8">
        <f t="shared" si="32"/>
        <v>5.5</v>
      </c>
      <c r="S72" s="363">
        <f t="shared" si="32"/>
        <v>0.22916666666666666</v>
      </c>
      <c r="T72" s="8">
        <f t="shared" si="32"/>
        <v>0</v>
      </c>
      <c r="U72" s="8">
        <f t="shared" si="32"/>
        <v>9.5</v>
      </c>
      <c r="V72" s="363">
        <f t="shared" si="32"/>
        <v>0.39583333333333331</v>
      </c>
      <c r="W72" s="8">
        <f t="shared" si="23"/>
        <v>1</v>
      </c>
      <c r="AA72" s="8">
        <v>70</v>
      </c>
      <c r="AB72" s="8" t="s">
        <v>1488</v>
      </c>
      <c r="AC72" s="8">
        <v>5.5</v>
      </c>
      <c r="AD72" s="363">
        <f t="shared" si="27"/>
        <v>0.22916666666666666</v>
      </c>
      <c r="AE72" s="8">
        <v>0</v>
      </c>
      <c r="AF72" s="8">
        <f t="shared" si="28"/>
        <v>9.5</v>
      </c>
      <c r="AG72" s="363">
        <f t="shared" si="29"/>
        <v>0.39583333333333331</v>
      </c>
      <c r="AH72" s="8">
        <f t="shared" si="30"/>
        <v>1</v>
      </c>
    </row>
    <row r="73" spans="1:34">
      <c r="A73" s="347">
        <v>46199.625</v>
      </c>
      <c r="C73" s="347">
        <f t="shared" si="31"/>
        <v>46199.625</v>
      </c>
      <c r="D73" s="347"/>
      <c r="P73" s="8">
        <v>71</v>
      </c>
      <c r="Q73" s="8" t="s">
        <v>1489</v>
      </c>
      <c r="R73" s="8">
        <f t="shared" si="32"/>
        <v>5.75</v>
      </c>
      <c r="S73" s="363">
        <f t="shared" si="32"/>
        <v>0.23958333333333334</v>
      </c>
      <c r="T73" s="8">
        <f t="shared" si="32"/>
        <v>0</v>
      </c>
      <c r="U73" s="8">
        <f t="shared" si="32"/>
        <v>9.75</v>
      </c>
      <c r="V73" s="363">
        <f t="shared" si="32"/>
        <v>0.40625</v>
      </c>
      <c r="W73" s="8">
        <f t="shared" si="23"/>
        <v>1</v>
      </c>
      <c r="AA73" s="8">
        <v>71</v>
      </c>
      <c r="AB73" s="8" t="s">
        <v>1489</v>
      </c>
      <c r="AC73" s="8">
        <v>5.75</v>
      </c>
      <c r="AD73" s="363">
        <f t="shared" si="27"/>
        <v>0.23958333333333334</v>
      </c>
      <c r="AE73" s="8">
        <v>0</v>
      </c>
      <c r="AF73" s="8">
        <f t="shared" si="28"/>
        <v>9.75</v>
      </c>
      <c r="AG73" s="363">
        <f t="shared" si="29"/>
        <v>0.40625</v>
      </c>
      <c r="AH73" s="8">
        <f t="shared" si="30"/>
        <v>1</v>
      </c>
    </row>
    <row r="74" spans="1:34">
      <c r="C74" s="347"/>
      <c r="P74" s="8">
        <v>72</v>
      </c>
      <c r="Q74" s="8" t="s">
        <v>1490</v>
      </c>
      <c r="R74" s="8">
        <f t="shared" si="32"/>
        <v>6</v>
      </c>
      <c r="S74" s="363">
        <f t="shared" si="32"/>
        <v>0.25</v>
      </c>
      <c r="T74" s="8">
        <f t="shared" si="32"/>
        <v>0</v>
      </c>
      <c r="U74" s="8">
        <f t="shared" si="32"/>
        <v>10</v>
      </c>
      <c r="V74" s="363">
        <f t="shared" si="32"/>
        <v>0.41666666666666669</v>
      </c>
      <c r="W74" s="8">
        <f t="shared" si="23"/>
        <v>1</v>
      </c>
      <c r="AA74" s="8">
        <v>72</v>
      </c>
      <c r="AB74" s="8" t="s">
        <v>1490</v>
      </c>
      <c r="AC74" s="8">
        <v>6</v>
      </c>
      <c r="AD74" s="363">
        <f t="shared" si="27"/>
        <v>0.25</v>
      </c>
      <c r="AE74" s="8">
        <v>0</v>
      </c>
      <c r="AF74" s="8">
        <f t="shared" si="28"/>
        <v>10</v>
      </c>
      <c r="AG74" s="363">
        <f t="shared" si="29"/>
        <v>0.41666666666666669</v>
      </c>
      <c r="AH74" s="8">
        <f t="shared" si="30"/>
        <v>1</v>
      </c>
    </row>
    <row r="75" spans="1:34">
      <c r="A75" s="5" t="s">
        <v>1491</v>
      </c>
      <c r="C75" s="347"/>
      <c r="P75" s="8">
        <v>73</v>
      </c>
      <c r="Q75" s="8" t="s">
        <v>1492</v>
      </c>
      <c r="R75" s="8">
        <f t="shared" si="32"/>
        <v>6.5</v>
      </c>
      <c r="S75" s="363">
        <f t="shared" si="32"/>
        <v>0.27083333333333331</v>
      </c>
      <c r="T75" s="8">
        <f t="shared" si="32"/>
        <v>0</v>
      </c>
      <c r="U75" s="8">
        <f t="shared" si="32"/>
        <v>10.5</v>
      </c>
      <c r="V75" s="363">
        <f t="shared" si="32"/>
        <v>0.4375</v>
      </c>
      <c r="W75" s="8">
        <f t="shared" si="23"/>
        <v>1</v>
      </c>
      <c r="AA75" s="8">
        <v>73</v>
      </c>
      <c r="AB75" s="8" t="s">
        <v>1492</v>
      </c>
      <c r="AC75" s="8">
        <v>6.5</v>
      </c>
      <c r="AD75" s="363">
        <f t="shared" si="27"/>
        <v>0.27083333333333331</v>
      </c>
      <c r="AE75" s="8">
        <v>0</v>
      </c>
      <c r="AF75" s="8">
        <f t="shared" si="28"/>
        <v>10.5</v>
      </c>
      <c r="AG75" s="363">
        <f t="shared" si="29"/>
        <v>0.4375</v>
      </c>
      <c r="AH75" s="8">
        <f t="shared" si="30"/>
        <v>1</v>
      </c>
    </row>
    <row r="76" spans="1:34">
      <c r="A76" s="347">
        <v>46189.875</v>
      </c>
      <c r="C76" s="347">
        <f t="shared" ref="C76:C81" si="33">A76+INDEX($V$3:$V$86,MATCH($C$3,$P$3:$P$86,0))*INDEX($W$3:$W$86,MATCH($C$3,$P$3:$P$86,0))</f>
        <v>46189.875</v>
      </c>
      <c r="D76" s="347"/>
      <c r="P76" s="8">
        <v>74</v>
      </c>
      <c r="Q76" s="8" t="s">
        <v>1493</v>
      </c>
      <c r="R76" s="8">
        <f t="shared" si="32"/>
        <v>7</v>
      </c>
      <c r="S76" s="363">
        <f t="shared" si="32"/>
        <v>0.29166666666666669</v>
      </c>
      <c r="T76" s="8">
        <f t="shared" si="32"/>
        <v>0</v>
      </c>
      <c r="U76" s="8">
        <f t="shared" si="32"/>
        <v>11</v>
      </c>
      <c r="V76" s="363">
        <f t="shared" si="32"/>
        <v>0.45833333333333331</v>
      </c>
      <c r="W76" s="8">
        <f t="shared" si="23"/>
        <v>1</v>
      </c>
      <c r="AA76" s="8">
        <v>74</v>
      </c>
      <c r="AB76" s="8" t="s">
        <v>1493</v>
      </c>
      <c r="AC76" s="8">
        <v>7</v>
      </c>
      <c r="AD76" s="363">
        <f t="shared" si="27"/>
        <v>0.29166666666666669</v>
      </c>
      <c r="AE76" s="8">
        <v>0</v>
      </c>
      <c r="AF76" s="8">
        <f t="shared" si="28"/>
        <v>11</v>
      </c>
      <c r="AG76" s="363">
        <f t="shared" si="29"/>
        <v>0.45833333333333331</v>
      </c>
      <c r="AH76" s="8">
        <f t="shared" si="30"/>
        <v>1</v>
      </c>
    </row>
    <row r="77" spans="1:34">
      <c r="A77" s="347">
        <v>46190</v>
      </c>
      <c r="C77" s="347">
        <f t="shared" si="33"/>
        <v>46190</v>
      </c>
      <c r="D77" s="347"/>
      <c r="P77" s="8">
        <v>75</v>
      </c>
      <c r="Q77" s="8" t="s">
        <v>1494</v>
      </c>
      <c r="R77" s="8">
        <f t="shared" si="32"/>
        <v>8</v>
      </c>
      <c r="S77" s="363">
        <f t="shared" si="32"/>
        <v>0.33333333333333331</v>
      </c>
      <c r="T77" s="8">
        <f t="shared" si="32"/>
        <v>0</v>
      </c>
      <c r="U77" s="8">
        <f t="shared" si="32"/>
        <v>12</v>
      </c>
      <c r="V77" s="363">
        <f t="shared" si="32"/>
        <v>0.5</v>
      </c>
      <c r="W77" s="8">
        <f t="shared" si="23"/>
        <v>1</v>
      </c>
      <c r="AA77" s="8">
        <v>75</v>
      </c>
      <c r="AB77" s="8" t="s">
        <v>1494</v>
      </c>
      <c r="AC77" s="8">
        <v>8</v>
      </c>
      <c r="AD77" s="363">
        <f t="shared" si="27"/>
        <v>0.33333333333333331</v>
      </c>
      <c r="AE77" s="8">
        <v>0</v>
      </c>
      <c r="AF77" s="8">
        <f t="shared" si="28"/>
        <v>12</v>
      </c>
      <c r="AG77" s="363">
        <f t="shared" si="29"/>
        <v>0.5</v>
      </c>
      <c r="AH77" s="8">
        <f t="shared" si="30"/>
        <v>1</v>
      </c>
    </row>
    <row r="78" spans="1:34">
      <c r="A78" s="347">
        <v>46195.541666666657</v>
      </c>
      <c r="C78" s="347">
        <f t="shared" si="33"/>
        <v>46195.541666666657</v>
      </c>
      <c r="D78" s="347"/>
      <c r="P78" s="8">
        <v>76</v>
      </c>
      <c r="Q78" s="8" t="s">
        <v>1495</v>
      </c>
      <c r="R78" s="8">
        <f t="shared" si="32"/>
        <v>9</v>
      </c>
      <c r="S78" s="363">
        <f t="shared" si="32"/>
        <v>0.375</v>
      </c>
      <c r="T78" s="8">
        <f t="shared" si="32"/>
        <v>0</v>
      </c>
      <c r="U78" s="8">
        <f t="shared" si="32"/>
        <v>13</v>
      </c>
      <c r="V78" s="363">
        <f t="shared" si="32"/>
        <v>0.54166666666666663</v>
      </c>
      <c r="W78" s="8">
        <f t="shared" si="23"/>
        <v>1</v>
      </c>
      <c r="AA78" s="8">
        <v>76</v>
      </c>
      <c r="AB78" s="8" t="s">
        <v>1495</v>
      </c>
      <c r="AC78" s="8">
        <v>9</v>
      </c>
      <c r="AD78" s="363">
        <f t="shared" si="27"/>
        <v>0.375</v>
      </c>
      <c r="AE78" s="8">
        <v>0</v>
      </c>
      <c r="AF78" s="8">
        <f t="shared" si="28"/>
        <v>13</v>
      </c>
      <c r="AG78" s="363">
        <f t="shared" si="29"/>
        <v>0.54166666666666663</v>
      </c>
      <c r="AH78" s="8">
        <f t="shared" si="30"/>
        <v>1</v>
      </c>
    </row>
    <row r="79" spans="1:34">
      <c r="A79" s="347">
        <v>46195.958333333343</v>
      </c>
      <c r="C79" s="347">
        <f t="shared" si="33"/>
        <v>46195.958333333343</v>
      </c>
      <c r="D79" s="347"/>
      <c r="P79" s="8">
        <v>77</v>
      </c>
      <c r="Q79" s="8" t="s">
        <v>1496</v>
      </c>
      <c r="R79" s="8">
        <f t="shared" si="32"/>
        <v>9.5</v>
      </c>
      <c r="S79" s="363">
        <f t="shared" si="32"/>
        <v>0.39583333333333331</v>
      </c>
      <c r="T79" s="8">
        <f t="shared" si="32"/>
        <v>0</v>
      </c>
      <c r="U79" s="8">
        <f t="shared" si="32"/>
        <v>13.5</v>
      </c>
      <c r="V79" s="363">
        <f t="shared" si="32"/>
        <v>0.5625</v>
      </c>
      <c r="W79" s="8">
        <f t="shared" si="23"/>
        <v>1</v>
      </c>
      <c r="AA79" s="8">
        <v>77</v>
      </c>
      <c r="AB79" s="8" t="s">
        <v>1496</v>
      </c>
      <c r="AC79" s="8">
        <v>9.5</v>
      </c>
      <c r="AD79" s="363">
        <f t="shared" si="27"/>
        <v>0.39583333333333331</v>
      </c>
      <c r="AE79" s="8">
        <v>0</v>
      </c>
      <c r="AF79" s="8">
        <f t="shared" si="28"/>
        <v>13.5</v>
      </c>
      <c r="AG79" s="363">
        <f t="shared" si="29"/>
        <v>0.5625</v>
      </c>
      <c r="AH79" s="8">
        <f t="shared" si="30"/>
        <v>1</v>
      </c>
    </row>
    <row r="80" spans="1:34">
      <c r="A80" s="347">
        <v>46200.916666666657</v>
      </c>
      <c r="C80" s="347">
        <f t="shared" si="33"/>
        <v>46200.916666666657</v>
      </c>
      <c r="D80" s="347"/>
      <c r="P80" s="8">
        <v>78</v>
      </c>
      <c r="Q80" s="8" t="s">
        <v>1497</v>
      </c>
      <c r="R80" s="8">
        <f t="shared" si="32"/>
        <v>10</v>
      </c>
      <c r="S80" s="363">
        <f t="shared" si="32"/>
        <v>0.41666666666666669</v>
      </c>
      <c r="T80" s="8">
        <f t="shared" si="32"/>
        <v>0</v>
      </c>
      <c r="U80" s="8">
        <f t="shared" si="32"/>
        <v>14</v>
      </c>
      <c r="V80" s="363">
        <f t="shared" si="32"/>
        <v>0.58333333333333337</v>
      </c>
      <c r="W80" s="8">
        <f t="shared" si="23"/>
        <v>1</v>
      </c>
      <c r="AA80" s="8">
        <v>78</v>
      </c>
      <c r="AB80" s="8" t="s">
        <v>1497</v>
      </c>
      <c r="AC80" s="8">
        <v>10</v>
      </c>
      <c r="AD80" s="363">
        <f t="shared" si="27"/>
        <v>0.41666666666666669</v>
      </c>
      <c r="AE80" s="8">
        <v>0</v>
      </c>
      <c r="AF80" s="8">
        <f t="shared" si="28"/>
        <v>14</v>
      </c>
      <c r="AG80" s="363">
        <f t="shared" si="29"/>
        <v>0.58333333333333337</v>
      </c>
      <c r="AH80" s="8">
        <f t="shared" si="30"/>
        <v>1</v>
      </c>
    </row>
    <row r="81" spans="1:34">
      <c r="A81" s="347">
        <v>46200.916666666657</v>
      </c>
      <c r="C81" s="347">
        <f t="shared" si="33"/>
        <v>46200.916666666657</v>
      </c>
      <c r="D81" s="347"/>
      <c r="P81" s="8">
        <v>79</v>
      </c>
      <c r="Q81" s="8" t="s">
        <v>1498</v>
      </c>
      <c r="R81" s="8">
        <f t="shared" ref="R81:V86" si="34">+INDEX($AC$3:$AH$86,MATCH($Q81,$AB$3:$AB$86,0),MATCH(R$2,$AC$2:$AH$2,0))</f>
        <v>10.5</v>
      </c>
      <c r="S81" s="363">
        <f t="shared" si="34"/>
        <v>0.4375</v>
      </c>
      <c r="T81" s="8">
        <f t="shared" si="34"/>
        <v>0</v>
      </c>
      <c r="U81" s="8">
        <f t="shared" si="34"/>
        <v>14.5</v>
      </c>
      <c r="V81" s="363">
        <f t="shared" si="34"/>
        <v>0.60416666666666663</v>
      </c>
      <c r="W81" s="8">
        <f t="shared" si="23"/>
        <v>1</v>
      </c>
      <c r="AA81" s="8">
        <v>79</v>
      </c>
      <c r="AB81" s="8" t="s">
        <v>1498</v>
      </c>
      <c r="AC81" s="8">
        <v>10.5</v>
      </c>
      <c r="AD81" s="363">
        <f t="shared" si="27"/>
        <v>0.4375</v>
      </c>
      <c r="AE81" s="8">
        <v>0</v>
      </c>
      <c r="AF81" s="8">
        <f t="shared" si="28"/>
        <v>14.5</v>
      </c>
      <c r="AG81" s="363">
        <f t="shared" si="29"/>
        <v>0.60416666666666663</v>
      </c>
      <c r="AH81" s="8">
        <f t="shared" si="30"/>
        <v>1</v>
      </c>
    </row>
    <row r="82" spans="1:34">
      <c r="C82" s="347"/>
      <c r="P82" s="8">
        <v>80</v>
      </c>
      <c r="Q82" s="8" t="s">
        <v>1499</v>
      </c>
      <c r="R82" s="8">
        <f t="shared" si="34"/>
        <v>11</v>
      </c>
      <c r="S82" s="363">
        <f t="shared" si="34"/>
        <v>0.45833333333333331</v>
      </c>
      <c r="T82" s="8">
        <f t="shared" si="34"/>
        <v>0</v>
      </c>
      <c r="U82" s="8">
        <f t="shared" si="34"/>
        <v>15</v>
      </c>
      <c r="V82" s="363">
        <f t="shared" si="34"/>
        <v>0.625</v>
      </c>
      <c r="W82" s="8">
        <f t="shared" si="23"/>
        <v>1</v>
      </c>
      <c r="AA82" s="8">
        <v>80</v>
      </c>
      <c r="AB82" s="8" t="s">
        <v>1499</v>
      </c>
      <c r="AC82" s="8">
        <v>11</v>
      </c>
      <c r="AD82" s="363">
        <f t="shared" si="27"/>
        <v>0.45833333333333331</v>
      </c>
      <c r="AE82" s="8">
        <v>0</v>
      </c>
      <c r="AF82" s="8">
        <f t="shared" si="28"/>
        <v>15</v>
      </c>
      <c r="AG82" s="363">
        <f t="shared" si="29"/>
        <v>0.625</v>
      </c>
      <c r="AH82" s="8">
        <f t="shared" si="30"/>
        <v>1</v>
      </c>
    </row>
    <row r="83" spans="1:34">
      <c r="A83" s="5" t="s">
        <v>1500</v>
      </c>
      <c r="C83" s="347"/>
      <c r="P83" s="8">
        <v>81</v>
      </c>
      <c r="Q83" s="8" t="s">
        <v>1501</v>
      </c>
      <c r="R83" s="8">
        <f t="shared" si="34"/>
        <v>12</v>
      </c>
      <c r="S83" s="363">
        <f t="shared" si="34"/>
        <v>0.5</v>
      </c>
      <c r="T83" s="8">
        <f t="shared" si="34"/>
        <v>0</v>
      </c>
      <c r="U83" s="8">
        <f t="shared" si="34"/>
        <v>16</v>
      </c>
      <c r="V83" s="363">
        <f t="shared" si="34"/>
        <v>0.66666666666666663</v>
      </c>
      <c r="W83" s="8">
        <f t="shared" si="23"/>
        <v>1</v>
      </c>
      <c r="AA83" s="8">
        <v>81</v>
      </c>
      <c r="AB83" s="8" t="s">
        <v>1501</v>
      </c>
      <c r="AC83" s="8">
        <v>12</v>
      </c>
      <c r="AD83" s="363">
        <f t="shared" si="27"/>
        <v>0.5</v>
      </c>
      <c r="AE83" s="8">
        <v>0</v>
      </c>
      <c r="AF83" s="8">
        <f t="shared" si="28"/>
        <v>16</v>
      </c>
      <c r="AG83" s="363">
        <f t="shared" si="29"/>
        <v>0.66666666666666663</v>
      </c>
      <c r="AH83" s="8">
        <f t="shared" si="30"/>
        <v>1</v>
      </c>
    </row>
    <row r="84" spans="1:34">
      <c r="A84" s="347">
        <v>46190.541666666657</v>
      </c>
      <c r="C84" s="347">
        <f t="shared" ref="C84:C89" si="35">A84+INDEX($V$3:$V$86,MATCH($C$3,$P$3:$P$86,0))*INDEX($W$3:$W$86,MATCH($C$3,$P$3:$P$86,0))</f>
        <v>46190.541666666657</v>
      </c>
      <c r="D84" s="347"/>
      <c r="P84" s="8">
        <v>82</v>
      </c>
      <c r="Q84" s="8" t="s">
        <v>1502</v>
      </c>
      <c r="R84" s="8">
        <f t="shared" si="34"/>
        <v>12.75</v>
      </c>
      <c r="S84" s="363">
        <f t="shared" si="34"/>
        <v>0.53125</v>
      </c>
      <c r="T84" s="8">
        <f t="shared" si="34"/>
        <v>0</v>
      </c>
      <c r="U84" s="8">
        <f t="shared" si="34"/>
        <v>16.75</v>
      </c>
      <c r="V84" s="363">
        <f t="shared" si="34"/>
        <v>0.69791666666666663</v>
      </c>
      <c r="W84" s="8">
        <f t="shared" si="23"/>
        <v>1</v>
      </c>
      <c r="AA84" s="8">
        <v>82</v>
      </c>
      <c r="AB84" s="8" t="s">
        <v>1502</v>
      </c>
      <c r="AC84" s="8">
        <v>12.75</v>
      </c>
      <c r="AD84" s="363">
        <f t="shared" si="27"/>
        <v>0.53125</v>
      </c>
      <c r="AE84" s="8">
        <v>0</v>
      </c>
      <c r="AF84" s="8">
        <f t="shared" si="28"/>
        <v>16.75</v>
      </c>
      <c r="AG84" s="363">
        <f t="shared" si="29"/>
        <v>0.69791666666666663</v>
      </c>
      <c r="AH84" s="8">
        <f t="shared" si="30"/>
        <v>1</v>
      </c>
    </row>
    <row r="85" spans="1:34">
      <c r="A85" s="347">
        <v>46190.916666666657</v>
      </c>
      <c r="C85" s="347">
        <f t="shared" si="35"/>
        <v>46190.916666666657</v>
      </c>
      <c r="D85" s="347"/>
      <c r="P85" s="8">
        <v>83</v>
      </c>
      <c r="Q85" s="8" t="s">
        <v>1503</v>
      </c>
      <c r="R85" s="8">
        <f t="shared" si="34"/>
        <v>13</v>
      </c>
      <c r="S85" s="363">
        <f t="shared" si="34"/>
        <v>0.54166666666666663</v>
      </c>
      <c r="T85" s="8">
        <f t="shared" si="34"/>
        <v>0</v>
      </c>
      <c r="U85" s="8">
        <f t="shared" si="34"/>
        <v>17</v>
      </c>
      <c r="V85" s="363">
        <f t="shared" si="34"/>
        <v>0.70833333333333337</v>
      </c>
      <c r="W85" s="8">
        <f t="shared" si="23"/>
        <v>1</v>
      </c>
      <c r="AA85" s="8">
        <v>83</v>
      </c>
      <c r="AB85" s="8" t="s">
        <v>1503</v>
      </c>
      <c r="AC85" s="8">
        <v>13</v>
      </c>
      <c r="AD85" s="363">
        <f t="shared" si="27"/>
        <v>0.54166666666666663</v>
      </c>
      <c r="AE85" s="8">
        <v>0</v>
      </c>
      <c r="AF85" s="8">
        <f t="shared" si="28"/>
        <v>17</v>
      </c>
      <c r="AG85" s="363">
        <f t="shared" si="29"/>
        <v>0.70833333333333337</v>
      </c>
      <c r="AH85" s="8">
        <f t="shared" si="30"/>
        <v>1</v>
      </c>
    </row>
    <row r="86" spans="1:34">
      <c r="A86" s="347">
        <v>46196.541666666657</v>
      </c>
      <c r="C86" s="347">
        <f t="shared" si="35"/>
        <v>46196.541666666657</v>
      </c>
      <c r="D86" s="347"/>
      <c r="P86" s="8">
        <v>84</v>
      </c>
      <c r="Q86" s="8" t="s">
        <v>1504</v>
      </c>
      <c r="R86" s="8">
        <f t="shared" si="34"/>
        <v>14</v>
      </c>
      <c r="S86" s="363">
        <f t="shared" si="34"/>
        <v>0.58333333333333337</v>
      </c>
      <c r="T86" s="8">
        <f t="shared" si="34"/>
        <v>0</v>
      </c>
      <c r="U86" s="8">
        <f t="shared" si="34"/>
        <v>18</v>
      </c>
      <c r="V86" s="363">
        <f t="shared" si="34"/>
        <v>0.75</v>
      </c>
      <c r="W86" s="8">
        <f t="shared" si="23"/>
        <v>1</v>
      </c>
      <c r="AA86" s="8">
        <v>84</v>
      </c>
      <c r="AB86" s="8" t="s">
        <v>1504</v>
      </c>
      <c r="AC86" s="8">
        <v>14</v>
      </c>
      <c r="AD86" s="363">
        <f t="shared" si="27"/>
        <v>0.58333333333333337</v>
      </c>
      <c r="AE86" s="8">
        <v>0</v>
      </c>
      <c r="AF86" s="8">
        <f t="shared" si="28"/>
        <v>18</v>
      </c>
      <c r="AG86" s="363">
        <f t="shared" si="29"/>
        <v>0.75</v>
      </c>
      <c r="AH86" s="8">
        <f t="shared" si="30"/>
        <v>1</v>
      </c>
    </row>
    <row r="87" spans="1:34">
      <c r="A87" s="347">
        <v>46196.916666666657</v>
      </c>
      <c r="C87" s="347">
        <f t="shared" si="35"/>
        <v>46196.916666666657</v>
      </c>
      <c r="D87" s="347"/>
    </row>
    <row r="88" spans="1:34">
      <c r="A88" s="347">
        <v>46200.8125</v>
      </c>
      <c r="C88" s="347">
        <f t="shared" si="35"/>
        <v>46200.8125</v>
      </c>
      <c r="D88" s="347"/>
    </row>
    <row r="89" spans="1:34">
      <c r="A89" s="347">
        <v>46200.8125</v>
      </c>
      <c r="C89" s="347">
        <f t="shared" si="35"/>
        <v>46200.8125</v>
      </c>
      <c r="D89" s="347"/>
    </row>
    <row r="90" spans="1:34">
      <c r="C90" s="347"/>
    </row>
    <row r="91" spans="1:34">
      <c r="A91" s="5" t="s">
        <v>1505</v>
      </c>
      <c r="C91" s="347"/>
    </row>
    <row r="92" spans="1:34">
      <c r="A92" s="347">
        <v>46190.666666666657</v>
      </c>
      <c r="C92" s="347">
        <f t="shared" ref="C92:C97" si="36">A92+INDEX($V$3:$V$86,MATCH($C$3,$P$3:$P$86,0))*INDEX($W$3:$W$86,MATCH($C$3,$P$3:$P$86,0))</f>
        <v>46190.666666666657</v>
      </c>
      <c r="D92" s="347"/>
    </row>
    <row r="93" spans="1:34">
      <c r="A93" s="347">
        <v>46190.791666666657</v>
      </c>
      <c r="C93" s="347">
        <f t="shared" si="36"/>
        <v>46190.791666666657</v>
      </c>
      <c r="D93" s="347"/>
    </row>
    <row r="94" spans="1:34">
      <c r="A94" s="347">
        <v>46196.666666666657</v>
      </c>
      <c r="C94" s="347">
        <f t="shared" si="36"/>
        <v>46196.666666666657</v>
      </c>
      <c r="D94" s="347"/>
    </row>
    <row r="95" spans="1:34">
      <c r="A95" s="347">
        <v>46196.791666666657</v>
      </c>
      <c r="C95" s="347">
        <f t="shared" si="36"/>
        <v>46196.791666666657</v>
      </c>
      <c r="D95" s="347"/>
    </row>
    <row r="96" spans="1:34">
      <c r="A96" s="347">
        <v>46200.708333333343</v>
      </c>
      <c r="C96" s="347">
        <f t="shared" si="36"/>
        <v>46200.708333333343</v>
      </c>
      <c r="D96" s="347"/>
    </row>
    <row r="97" spans="1:10">
      <c r="A97" s="347">
        <v>46200.708333333343</v>
      </c>
      <c r="C97" s="347">
        <f t="shared" si="36"/>
        <v>46200.708333333343</v>
      </c>
      <c r="D97" s="347"/>
    </row>
    <row r="100" spans="1:10">
      <c r="A100" s="366" t="s">
        <v>1506</v>
      </c>
      <c r="C100" s="347"/>
      <c r="F100" s="8" t="s">
        <v>1507</v>
      </c>
      <c r="I100" s="8" t="s">
        <v>1508</v>
      </c>
    </row>
    <row r="101" spans="1:10">
      <c r="A101" s="347">
        <v>46201.625</v>
      </c>
      <c r="C101" s="347">
        <f t="shared" ref="C101:C116" si="37">A101+INDEX($V$3:$V$86,MATCH($C$3,$P$3:$P$86,0))*INDEX($W$3:$W$86,MATCH($C$3,$P$3:$P$86,0))</f>
        <v>46201.625</v>
      </c>
      <c r="F101" s="8">
        <v>73</v>
      </c>
      <c r="G101" s="347">
        <v>46201.625</v>
      </c>
      <c r="I101" s="8">
        <v>73</v>
      </c>
      <c r="J101" s="347">
        <v>46201.625</v>
      </c>
    </row>
    <row r="102" spans="1:10">
      <c r="A102" s="347">
        <v>46202.541666666657</v>
      </c>
      <c r="C102" s="347">
        <f t="shared" si="37"/>
        <v>46202.541666666657</v>
      </c>
      <c r="F102" s="8">
        <v>76</v>
      </c>
      <c r="G102" s="347">
        <v>46202.541666666657</v>
      </c>
      <c r="I102" s="8">
        <v>74</v>
      </c>
      <c r="J102" s="347">
        <v>46202.6875</v>
      </c>
    </row>
    <row r="103" spans="1:10">
      <c r="A103" s="347">
        <v>46202.6875</v>
      </c>
      <c r="C103" s="347">
        <f t="shared" si="37"/>
        <v>46202.6875</v>
      </c>
      <c r="F103" s="8">
        <v>74</v>
      </c>
      <c r="G103" s="347">
        <v>46202.6875</v>
      </c>
      <c r="I103" s="8">
        <v>75</v>
      </c>
      <c r="J103" s="347">
        <v>46202.875</v>
      </c>
    </row>
    <row r="104" spans="1:10">
      <c r="A104" s="347">
        <v>46202.875</v>
      </c>
      <c r="C104" s="347">
        <f t="shared" si="37"/>
        <v>46202.875</v>
      </c>
      <c r="F104" s="8">
        <v>75</v>
      </c>
      <c r="G104" s="347">
        <v>46202.875</v>
      </c>
      <c r="I104" s="8">
        <v>76</v>
      </c>
      <c r="J104" s="347">
        <v>46202.541666666657</v>
      </c>
    </row>
    <row r="105" spans="1:10">
      <c r="A105" s="347">
        <v>46203.541666666657</v>
      </c>
      <c r="C105" s="347">
        <f t="shared" si="37"/>
        <v>46203.541666666657</v>
      </c>
      <c r="F105" s="8">
        <v>78</v>
      </c>
      <c r="G105" s="347">
        <v>46203.541666666657</v>
      </c>
      <c r="I105" s="8">
        <v>77</v>
      </c>
      <c r="J105" s="347">
        <v>46203.708333333343</v>
      </c>
    </row>
    <row r="106" spans="1:10">
      <c r="A106" s="347">
        <v>46203.708333333343</v>
      </c>
      <c r="C106" s="347">
        <f t="shared" si="37"/>
        <v>46203.708333333343</v>
      </c>
      <c r="F106" s="8">
        <v>77</v>
      </c>
      <c r="G106" s="347">
        <v>46203.708333333343</v>
      </c>
      <c r="I106" s="8">
        <v>78</v>
      </c>
      <c r="J106" s="347">
        <v>46203.541666666657</v>
      </c>
    </row>
    <row r="107" spans="1:10">
      <c r="A107" s="347">
        <v>46203.875</v>
      </c>
      <c r="C107" s="347">
        <f t="shared" si="37"/>
        <v>46203.875</v>
      </c>
      <c r="F107" s="8">
        <v>79</v>
      </c>
      <c r="G107" s="347">
        <v>46203.875</v>
      </c>
      <c r="I107" s="8">
        <v>79</v>
      </c>
      <c r="J107" s="347">
        <v>46203.875</v>
      </c>
    </row>
    <row r="108" spans="1:10">
      <c r="A108" s="347">
        <v>46204.5</v>
      </c>
      <c r="C108" s="347">
        <f t="shared" si="37"/>
        <v>46204.5</v>
      </c>
      <c r="F108" s="8">
        <v>80</v>
      </c>
      <c r="G108" s="347">
        <v>46204.5</v>
      </c>
      <c r="I108" s="8">
        <v>80</v>
      </c>
      <c r="J108" s="347">
        <v>46204.5</v>
      </c>
    </row>
    <row r="109" spans="1:10">
      <c r="A109" s="347">
        <v>46204.666666666657</v>
      </c>
      <c r="C109" s="347">
        <f t="shared" si="37"/>
        <v>46204.666666666657</v>
      </c>
      <c r="F109" s="8">
        <v>82</v>
      </c>
      <c r="G109" s="347">
        <v>46204.666666666657</v>
      </c>
      <c r="I109" s="8">
        <v>81</v>
      </c>
      <c r="J109" s="347">
        <v>46204.833333333343</v>
      </c>
    </row>
    <row r="110" spans="1:10">
      <c r="A110" s="347">
        <v>46204.833333333343</v>
      </c>
      <c r="C110" s="347">
        <f t="shared" si="37"/>
        <v>46204.833333333343</v>
      </c>
      <c r="F110" s="8">
        <v>81</v>
      </c>
      <c r="G110" s="347">
        <v>46204.833333333343</v>
      </c>
      <c r="I110" s="8">
        <v>82</v>
      </c>
      <c r="J110" s="347">
        <v>46204.666666666657</v>
      </c>
    </row>
    <row r="111" spans="1:10">
      <c r="A111" s="347">
        <v>46205.625</v>
      </c>
      <c r="C111" s="347">
        <f t="shared" si="37"/>
        <v>46205.625</v>
      </c>
      <c r="F111" s="8">
        <v>84</v>
      </c>
      <c r="G111" s="347">
        <v>46205.625</v>
      </c>
      <c r="I111" s="8">
        <v>83</v>
      </c>
      <c r="J111" s="347">
        <v>46205.791666666657</v>
      </c>
    </row>
    <row r="112" spans="1:10">
      <c r="A112" s="347">
        <v>46205.791666666657</v>
      </c>
      <c r="C112" s="347">
        <f t="shared" si="37"/>
        <v>46205.791666666657</v>
      </c>
      <c r="F112" s="8">
        <v>83</v>
      </c>
      <c r="G112" s="347">
        <v>46205.791666666657</v>
      </c>
      <c r="I112" s="8">
        <v>84</v>
      </c>
      <c r="J112" s="347">
        <v>46205.625</v>
      </c>
    </row>
    <row r="113" spans="1:10">
      <c r="A113" s="347">
        <v>46205.958333333343</v>
      </c>
      <c r="C113" s="347">
        <f t="shared" si="37"/>
        <v>46205.958333333343</v>
      </c>
      <c r="F113" s="8">
        <v>85</v>
      </c>
      <c r="G113" s="347">
        <v>46205.958333333343</v>
      </c>
      <c r="I113" s="8">
        <v>85</v>
      </c>
      <c r="J113" s="347">
        <v>46205.958333333343</v>
      </c>
    </row>
    <row r="114" spans="1:10">
      <c r="A114" s="347">
        <v>46206.583333333343</v>
      </c>
      <c r="C114" s="347">
        <f t="shared" si="37"/>
        <v>46206.583333333343</v>
      </c>
      <c r="F114" s="8">
        <v>88</v>
      </c>
      <c r="G114" s="347">
        <v>46206.583333333343</v>
      </c>
      <c r="I114" s="8">
        <v>86</v>
      </c>
      <c r="J114" s="347">
        <v>46206.75</v>
      </c>
    </row>
    <row r="115" spans="1:10">
      <c r="A115" s="347">
        <v>46206.75</v>
      </c>
      <c r="C115" s="347">
        <f t="shared" si="37"/>
        <v>46206.75</v>
      </c>
      <c r="F115" s="8">
        <v>86</v>
      </c>
      <c r="G115" s="347">
        <v>46206.75</v>
      </c>
      <c r="I115" s="8">
        <v>87</v>
      </c>
      <c r="J115" s="347">
        <v>46206.895833333343</v>
      </c>
    </row>
    <row r="116" spans="1:10">
      <c r="A116" s="347">
        <v>46206.895833333343</v>
      </c>
      <c r="C116" s="347">
        <f t="shared" si="37"/>
        <v>46206.895833333343</v>
      </c>
      <c r="F116" s="8">
        <v>87</v>
      </c>
      <c r="G116" s="347">
        <v>46206.895833333343</v>
      </c>
      <c r="I116" s="8">
        <v>88</v>
      </c>
      <c r="J116" s="347">
        <v>46206.583333333343</v>
      </c>
    </row>
    <row r="117" spans="1:10">
      <c r="C117" s="347"/>
      <c r="G117" s="347"/>
    </row>
    <row r="118" spans="1:10">
      <c r="C118" s="347"/>
      <c r="G118" s="347"/>
    </row>
    <row r="119" spans="1:10">
      <c r="A119" s="366" t="s">
        <v>1509</v>
      </c>
      <c r="G119" s="347"/>
    </row>
    <row r="120" spans="1:10">
      <c r="A120" s="347">
        <v>46207.541666666657</v>
      </c>
      <c r="C120" s="347">
        <f t="shared" ref="C120:C127" si="38">A120+INDEX($V$3:$V$86,MATCH($C$3,$P$3:$P$86,0))*INDEX($W$3:$W$86,MATCH($C$3,$P$3:$P$86,0))</f>
        <v>46207.541666666657</v>
      </c>
      <c r="D120" s="347"/>
      <c r="F120" s="8">
        <v>90</v>
      </c>
      <c r="G120" s="347">
        <v>46207.541666666657</v>
      </c>
      <c r="I120" s="8">
        <v>89</v>
      </c>
      <c r="J120" s="347">
        <v>46207.708333333343</v>
      </c>
    </row>
    <row r="121" spans="1:10">
      <c r="A121" s="347">
        <v>46207.708333333343</v>
      </c>
      <c r="C121" s="347">
        <f t="shared" si="38"/>
        <v>46207.708333333343</v>
      </c>
      <c r="D121" s="347"/>
      <c r="F121" s="8">
        <v>89</v>
      </c>
      <c r="G121" s="347">
        <v>46207.708333333343</v>
      </c>
      <c r="I121" s="8">
        <v>90</v>
      </c>
      <c r="J121" s="347">
        <v>46207.541666666657</v>
      </c>
    </row>
    <row r="122" spans="1:10">
      <c r="A122" s="347">
        <v>46208.666666666657</v>
      </c>
      <c r="C122" s="347">
        <f t="shared" si="38"/>
        <v>46208.666666666657</v>
      </c>
      <c r="D122" s="347"/>
      <c r="F122" s="8">
        <v>91</v>
      </c>
      <c r="G122" s="347">
        <v>46208.666666666657</v>
      </c>
      <c r="I122" s="8">
        <v>91</v>
      </c>
      <c r="J122" s="347">
        <v>46208.666666666657</v>
      </c>
    </row>
    <row r="123" spans="1:10">
      <c r="A123" s="347">
        <v>46208.833333333343</v>
      </c>
      <c r="C123" s="347">
        <f t="shared" si="38"/>
        <v>46208.833333333343</v>
      </c>
      <c r="D123" s="347"/>
      <c r="F123" s="8">
        <v>92</v>
      </c>
      <c r="G123" s="347">
        <v>46208.833333333343</v>
      </c>
      <c r="I123" s="8">
        <v>92</v>
      </c>
      <c r="J123" s="347">
        <v>46208.833333333343</v>
      </c>
    </row>
    <row r="124" spans="1:10">
      <c r="A124" s="347">
        <v>46209.625</v>
      </c>
      <c r="C124" s="347">
        <f t="shared" si="38"/>
        <v>46209.625</v>
      </c>
      <c r="D124" s="347"/>
      <c r="F124" s="8">
        <v>93</v>
      </c>
      <c r="G124" s="347">
        <v>46209.625</v>
      </c>
      <c r="I124" s="8">
        <v>93</v>
      </c>
      <c r="J124" s="347">
        <v>46209.625</v>
      </c>
    </row>
    <row r="125" spans="1:10">
      <c r="A125" s="347">
        <v>46209.833333333343</v>
      </c>
      <c r="C125" s="347">
        <f t="shared" si="38"/>
        <v>46209.833333333343</v>
      </c>
      <c r="D125" s="347"/>
      <c r="F125" s="8">
        <v>94</v>
      </c>
      <c r="G125" s="347">
        <v>46209.833333333343</v>
      </c>
      <c r="I125" s="8">
        <v>94</v>
      </c>
      <c r="J125" s="347">
        <v>46209.833333333343</v>
      </c>
    </row>
    <row r="126" spans="1:10">
      <c r="A126" s="347">
        <v>46210.5</v>
      </c>
      <c r="C126" s="347">
        <f t="shared" si="38"/>
        <v>46210.5</v>
      </c>
      <c r="D126" s="347"/>
      <c r="F126" s="8">
        <v>95</v>
      </c>
      <c r="G126" s="347">
        <v>46210.5</v>
      </c>
      <c r="I126" s="8">
        <v>95</v>
      </c>
      <c r="J126" s="347">
        <v>46210.5</v>
      </c>
    </row>
    <row r="127" spans="1:10">
      <c r="A127" s="347">
        <v>46210.666666666657</v>
      </c>
      <c r="C127" s="347">
        <f t="shared" si="38"/>
        <v>46210.666666666657</v>
      </c>
      <c r="D127" s="347"/>
      <c r="F127" s="8">
        <v>96</v>
      </c>
      <c r="G127" s="347">
        <v>46210.666666666657</v>
      </c>
      <c r="I127" s="8">
        <v>96</v>
      </c>
      <c r="J127" s="347">
        <v>46210.666666666657</v>
      </c>
    </row>
    <row r="128" spans="1:10">
      <c r="G128" s="347"/>
    </row>
    <row r="129" spans="1:10">
      <c r="G129" s="347"/>
    </row>
    <row r="130" spans="1:10">
      <c r="A130" s="366" t="s">
        <v>1510</v>
      </c>
      <c r="C130" s="347"/>
      <c r="G130" s="347"/>
    </row>
    <row r="131" spans="1:10">
      <c r="A131" s="347">
        <v>46212.666666666657</v>
      </c>
      <c r="C131" s="347">
        <f>A131+INDEX($V$3:$V$86,MATCH($C$3,$P$3:$P$86,0))*INDEX($W$3:$W$86,MATCH($C$3,$P$3:$P$86,0))</f>
        <v>46212.666666666657</v>
      </c>
      <c r="D131" s="347"/>
      <c r="F131" s="8">
        <v>97</v>
      </c>
      <c r="G131" s="347">
        <v>46212.666666666657</v>
      </c>
      <c r="I131" s="8">
        <v>97</v>
      </c>
      <c r="J131" s="347">
        <v>46212.666666666657</v>
      </c>
    </row>
    <row r="132" spans="1:10">
      <c r="A132" s="347">
        <v>46213.625</v>
      </c>
      <c r="C132" s="347">
        <f>A132+INDEX($V$3:$V$86,MATCH($C$3,$P$3:$P$86,0))*INDEX($W$3:$W$86,MATCH($C$3,$P$3:$P$86,0))</f>
        <v>46213.625</v>
      </c>
      <c r="D132" s="347"/>
      <c r="F132" s="8">
        <v>98</v>
      </c>
      <c r="G132" s="347">
        <v>46213.625</v>
      </c>
      <c r="I132" s="8">
        <v>98</v>
      </c>
      <c r="J132" s="347">
        <v>46213.625</v>
      </c>
    </row>
    <row r="133" spans="1:10">
      <c r="A133" s="347">
        <v>46214.708333333343</v>
      </c>
      <c r="C133" s="347">
        <f>A133+INDEX($V$3:$V$86,MATCH($C$3,$P$3:$P$86,0))*INDEX($W$3:$W$86,MATCH($C$3,$P$3:$P$86,0))</f>
        <v>46214.708333333343</v>
      </c>
      <c r="D133" s="347"/>
      <c r="F133" s="8">
        <v>99</v>
      </c>
      <c r="G133" s="347">
        <v>46214.708333333343</v>
      </c>
      <c r="I133" s="8">
        <v>99</v>
      </c>
      <c r="J133" s="347">
        <v>46214.708333333343</v>
      </c>
    </row>
    <row r="134" spans="1:10">
      <c r="A134" s="347">
        <v>46214.875</v>
      </c>
      <c r="C134" s="347">
        <f>A134+INDEX($V$3:$V$86,MATCH($C$3,$P$3:$P$86,0))*INDEX($W$3:$W$86,MATCH($C$3,$P$3:$P$86,0))</f>
        <v>46214.875</v>
      </c>
      <c r="D134" s="347"/>
      <c r="F134" s="8">
        <v>100</v>
      </c>
      <c r="G134" s="347">
        <v>46214.875</v>
      </c>
      <c r="I134" s="8">
        <v>100</v>
      </c>
      <c r="J134" s="347">
        <v>46214.875</v>
      </c>
    </row>
    <row r="135" spans="1:10">
      <c r="C135" s="347"/>
    </row>
    <row r="137" spans="1:10">
      <c r="A137" s="367" t="s">
        <v>1511</v>
      </c>
      <c r="C137" s="347"/>
    </row>
    <row r="138" spans="1:10">
      <c r="A138" s="347">
        <v>46217.625</v>
      </c>
      <c r="C138" s="347">
        <f>A138+INDEX($V$3:$V$86,MATCH($C$3,$P$3:$P$86,0))*INDEX($W$3:$W$86,MATCH($C$3,$P$3:$P$86,0))</f>
        <v>46217.625</v>
      </c>
      <c r="D138" s="347"/>
    </row>
    <row r="139" spans="1:10">
      <c r="A139" s="347">
        <v>46218.625</v>
      </c>
      <c r="C139" s="347">
        <f>A139+INDEX($V$3:$V$86,MATCH($C$3,$P$3:$P$86,0))*INDEX($W$3:$W$86,MATCH($C$3,$P$3:$P$86,0))</f>
        <v>46218.625</v>
      </c>
      <c r="D139" s="347"/>
    </row>
    <row r="140" spans="1:10">
      <c r="C140" s="347"/>
    </row>
    <row r="142" spans="1:10">
      <c r="A142" s="368" t="s">
        <v>226</v>
      </c>
    </row>
    <row r="143" spans="1:10">
      <c r="A143" s="347">
        <v>46221.708333333343</v>
      </c>
      <c r="C143" s="347">
        <f>A143+INDEX($V$3:$V$86,MATCH($C$3,$P$3:$P$86,0))*INDEX($W$3:$W$86,MATCH($C$3,$P$3:$P$86,0))</f>
        <v>46221.708333333343</v>
      </c>
      <c r="D143" s="347"/>
    </row>
    <row r="146" spans="1:4">
      <c r="A146" s="369" t="s">
        <v>116</v>
      </c>
      <c r="C146" s="347"/>
    </row>
    <row r="147" spans="1:4">
      <c r="A147" s="347">
        <v>46222.625</v>
      </c>
      <c r="C147" s="347">
        <f>A147+INDEX($V$3:$V$86,MATCH($C$3,$P$3:$P$86,0))*INDEX($W$3:$W$86,MATCH($C$3,$P$3:$P$86,0))</f>
        <v>46222.625</v>
      </c>
      <c r="D147" s="347"/>
    </row>
  </sheetData>
  <conditionalFormatting sqref="F4:F27">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962de3d1-855d-43e2-8a2d-11cf29fb2148}" enabled="1" method="Privileged" siteId="{9dfd1e5e-bb06-40df-8eeb-2a295fe4dda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2026-06-18T17:03:41Z</dcterms:modified>
  <cp:category/>
  <cp:contentStatus/>
</cp:coreProperties>
</file>